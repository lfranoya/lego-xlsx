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E2C7102E-B6E8-49E6-9750-18DF6A0896E0}" xr6:coauthVersionLast="47" xr6:coauthVersionMax="47" xr10:uidLastSave="{00000000-0000-0000-0000-000000000000}"/>
  <bookViews>
    <workbookView xWindow="19190" yWindow="230" windowWidth="19110" windowHeight="20110" tabRatio="500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0" i="1" l="1"/>
  <c r="C50" i="1"/>
  <c r="D36" i="1"/>
  <c r="D35" i="1"/>
  <c r="D37" i="1"/>
  <c r="C35" i="1"/>
  <c r="C36" i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8" i="1"/>
  <c r="C57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C37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L26" i="1" l="1"/>
  <c r="G28" i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N22" i="1"/>
  <c r="O29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<sst xmlns="http://schemas.openxmlformats.org/spreadsheetml/2006/main" count="651" uniqueCount="210">
  <si>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</si>
  <si>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</si>
  <si>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</si>
  <si>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</si>
  <si>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</si>
  <si>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</si>
  <si>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</si>
  <si>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</si>
  <si>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</si>
  <si>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</si>
  <si>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</si>
  <si>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</si>
  <si>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</si>
  <si>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</si>
  <si>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</si>
  <si>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</si>
  <si>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</si>
  <si>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</si>
  <si>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</si>
  <si>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</si>
  <si>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</si>
  <si>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</si>
  <si>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</si>
  <si>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</si>
  <si>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</si>
  <si>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</si>
  <si>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</si>
  <si>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</si>
  <si>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</si>
  <si>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</si>
  <si>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</si>
  <si>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</si>
  <si>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</si>
  <si>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</si>
  <si>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</si>
  <si>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</si>
  <si>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</si>
  <si>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</si>
  <si>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</si>
  <si>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</si>
  <si>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</si>
  <si>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</si>
  <si>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</si>
  <si>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</si>
  <si>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</si>
  <si>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</si>
  <si>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</si>
  <si>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</si>
  <si>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</si>
  <si>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</si>
  <si>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</si>
  <si>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</si>
  <si>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</si>
  <si>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</si>
  <si>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</si>
  <si>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</si>
  <si>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</si>
  <si>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</si>
  <si>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</si>
  <si>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</si>
  <si>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</si>
  <si>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</si>
  <si>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</si>
  <si>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</si>
  <si>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</si>
  <si>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</si>
  <si>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</si>
  <si>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</si>
  <si>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</si>
  <si>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</si>
  <si>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</si>
  <si>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</si>
  <si>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</si>
  <si>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</si>
  <si>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</si>
  <si>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</si>
  <si>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</si>
  <si>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</si>
  <si>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</si>
  <si>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</si>
  <si>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</si>
  <si>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</si>
  <si>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</si>
  <si>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</si>
  <si>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</si>
  <si>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</si>
  <si>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</si>
  <si>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</si>
  <si>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</si>
  <si>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</si>
  <si>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</si>
  <si>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</si>
  <si>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</si>
  <si>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</si>
  <si>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</si>
  <si>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</si>
  <si>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</si>
  <si>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</si>
  <si>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</si>
  <si>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</si>
  <si>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</si>
  <si>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</si>
  <si>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</si>
  <si>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</si>
  <si>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</si>
  <si>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</si>
  <si>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</si>
  <si>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</si>
  <si>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</si>
  <si>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</si>
  <si>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</si>
  <si>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</si>
  <si>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</si>
  <si>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</si>
  <si>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</si>
  <si>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</si>
  <si>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</si>
  <si>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</si>
  <si>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</si>
  <si>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</si>
  <si>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</si>
  <si>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</si>
  <si>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</si>
  <si>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</si>
  <si>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</si>
  <si>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</si>
  <si>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</si>
  <si>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</si>
  <si>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</si>
  <si>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</si>
  <si>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</si>
  <si>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</si>
  <si>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</si>
  <si>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</si>
  <si>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</si>
  <si>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</si>
  <si>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</si>
  <si>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</si>
  <si>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</si>
  <si>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</si>
  <si>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</si>
  <si>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</si>
  <si>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</si>
  <si>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</si>
  <si>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</si>
  <si>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</si>
  <si>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</si>
  <si>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</si>
  <si>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</si>
  <si>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</si>
  <si>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</si>
  <si>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</si>
  <si>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</si>
  <si>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</si>
  <si>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</si>
  <si>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</si>
  <si>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</si>
  <si>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</si>
  <si>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</si>
  <si>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</si>
  <si>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</si>
  <si>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</si>
  <si>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</si>
  <si>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</si>
  <si>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</si>
  <si>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</si>
  <si>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</si>
  <si>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</si>
  <si>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</si>
  <si>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</si>
  <si>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</si>
  <si>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</si>
  <si>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</si>
  <si>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</si>
  <si>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</si>
  <si>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</si>
  <si>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</si>
  <si>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</si>
  <si>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</si>
  <si>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</si>
  <si>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</si>
  <si>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</si>
  <si>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</si>
  <si>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</si>
  <si>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</si>
  <si>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</si>
  <si>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</si>
  <si>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</si>
  <si>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</si>
  <si>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</si>
  <si>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</si>
  <si>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</si>
  <si>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</si>
  <si>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</si>
  <si>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</si>
  <si>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</si>
  <si>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</si>
  <si>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</si>
  <si>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</si>
  <si>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</si>
  <si>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</si>
  <si>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</si>
  <si>
    <t>The Darksaber</t>
  </si>
  <si>
    <t>SEGA® Genesis™ Console</t>
  </si>
  <si>
    <t>Peanuts: Snoopy's Doghouse</t>
  </si>
  <si>
    <t>The Fast and The Furious Toyota Supra MK4</t>
  </si>
  <si>
    <t>Dinosaur Fossils: Triceratops</t>
  </si>
  <si>
    <t>Darth Vader (2002)</t>
  </si>
  <si>
    <t>C-3PO (2001)</t>
  </si>
  <si>
    <t>Stormtrooper (2001)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</si>
</sst>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Dashboard!$B$57:$B$58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Dashboard!$C$57:$C$58</c:f>
              <c:numCache>
                <c:formatCode>General</c:formatCode>
                <c:ptCount val="2"/>
                <c:pt idx="0">
                  <c:v>66</c:v>
                </c:pt>
                <c:pt idx="1">
                  <c:v>80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Dashboard!$D$57:$D$58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79</c:v>
                </c:pt>
                <c:pt idx="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47576</c:v>
                </c:pt>
                <c:pt idx="1">
                  <c:v>22286</c:v>
                </c:pt>
                <c:pt idx="2">
                  <c:v>41709</c:v>
                </c:pt>
                <c:pt idx="3">
                  <c:v>12102</c:v>
                </c:pt>
                <c:pt idx="4">
                  <c:v>3116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8700</c:v>
                </c:pt>
                <c:pt idx="11">
                  <c:v>2637</c:v>
                </c:pt>
                <c:pt idx="12">
                  <c:v>811</c:v>
                </c:pt>
                <c:pt idx="13">
                  <c:v>4299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8"/>
  <sheetViews>
    <sheetView showGridLines="0" tabSelected="1" zoomScaleNormal="100" workbookViewId="0">
      <selection activeCell="D51" sqref="D51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122" t="s">
        <v>175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</row>
    <row r="3" spans="2:18" ht="6" customHeight="1" thickBot="1" x14ac:dyDescent="0.4"/>
    <row r="4" spans="2:18" ht="15" customHeight="1" x14ac:dyDescent="0.35">
      <c r="B4" s="124" t="s">
        <v>0</v>
      </c>
      <c r="C4" s="124"/>
      <c r="D4" s="124" t="s">
        <v>1</v>
      </c>
      <c r="E4" s="124"/>
      <c r="F4" s="124" t="s">
        <v>2</v>
      </c>
      <c r="G4" s="124"/>
      <c r="H4" s="124" t="s">
        <v>3</v>
      </c>
      <c r="I4" s="124"/>
      <c r="J4" s="125" t="s">
        <v>4</v>
      </c>
      <c r="K4" s="126"/>
      <c r="L4" s="127"/>
    </row>
    <row r="5" spans="2:18" ht="31" x14ac:dyDescent="0.35">
      <c r="B5" s="115">
        <f>COUNTA(Inventory!C2:C1000)</f>
        <v>146</v>
      </c>
      <c r="C5" s="115"/>
      <c r="D5" s="116">
        <f>COUNTIF(Inventory!H2:H1000,"YES")</f>
        <v>66</v>
      </c>
      <c r="E5" s="116"/>
      <c r="F5" s="117">
        <f>COUNTIF(Inventory!H2:H1000,"NO")</f>
        <v>80</v>
      </c>
      <c r="G5" s="117"/>
      <c r="H5" s="118">
        <f ca="1">COUNTIF(Inventory!I2:I1000,"Not Retired")</f>
        <v>79</v>
      </c>
      <c r="I5" s="118"/>
      <c r="J5" s="119">
        <f ca="1">COUNTIF(Inventory!I2:I1000,"Retired")</f>
        <v>67</v>
      </c>
      <c r="K5" s="120"/>
      <c r="L5" s="121"/>
    </row>
    <row r="6" spans="2:18" ht="17.5" customHeight="1" x14ac:dyDescent="0.35">
      <c r="B6" s="114">
        <f>SUMIF(Inventory!E2:E1000,"&lt;&gt;"&amp;"",Inventory!E2:E1000)</f>
        <v>184648</v>
      </c>
      <c r="C6" s="114"/>
      <c r="D6" s="114">
        <f>SUMIF(Inventory!H2:H1000,"YES",Inventory!E2:E1000)</f>
        <v>76040</v>
      </c>
      <c r="E6" s="114"/>
      <c r="F6" s="114">
        <f>SUMIF(Inventory!H2:H1000,"NO",Inventory!E2:E1000)</f>
        <v>108608</v>
      </c>
      <c r="G6" s="114"/>
      <c r="H6" s="114">
        <f ca="1">SUMIFS(Inventory!E2:E1000,Inventory!I2:I1000,"Not Retired")</f>
        <v>116357</v>
      </c>
      <c r="I6" s="114"/>
      <c r="J6" s="77">
        <f ca="1">SUMIFS(Inventory!E2:E1000,Inventory!I2:I1000,"Retired")</f>
        <v>68291</v>
      </c>
      <c r="K6" s="78"/>
      <c r="L6" s="79"/>
      <c r="Q6" s="51"/>
      <c r="R6" s="61"/>
    </row>
    <row r="7" spans="2:18" x14ac:dyDescent="0.35">
      <c r="B7" s="104" t="s">
        <v>5</v>
      </c>
      <c r="C7" s="104"/>
      <c r="D7" s="104" t="s">
        <v>6</v>
      </c>
      <c r="E7" s="104"/>
      <c r="F7" s="105" t="s">
        <v>173</v>
      </c>
      <c r="G7" s="104"/>
      <c r="H7" s="104" t="s">
        <v>7</v>
      </c>
      <c r="I7" s="104"/>
      <c r="J7" s="80" t="s">
        <v>174</v>
      </c>
      <c r="K7" s="81"/>
      <c r="L7" s="82"/>
    </row>
    <row r="8" spans="2:18" ht="6" customHeight="1" thickBot="1" x14ac:dyDescent="0.4">
      <c r="B8" s="106"/>
      <c r="C8" s="106"/>
      <c r="D8" s="107"/>
      <c r="E8" s="107"/>
      <c r="F8" s="108"/>
      <c r="G8" s="108"/>
      <c r="H8" s="109"/>
      <c r="I8" s="109"/>
      <c r="J8" s="83"/>
      <c r="K8" s="84"/>
      <c r="L8" s="85"/>
    </row>
    <row r="9" spans="2:18" ht="6" customHeight="1" x14ac:dyDescent="0.35"/>
    <row r="10" spans="2:18" ht="19.5" customHeight="1" x14ac:dyDescent="0.35">
      <c r="B10" s="91" t="s">
        <v>8</v>
      </c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</row>
    <row r="11" spans="2:18" ht="15.75" customHeight="1" x14ac:dyDescent="0.35">
      <c r="B11" s="103"/>
      <c r="C11" s="110" t="s">
        <v>9</v>
      </c>
      <c r="D11" s="110"/>
      <c r="E11" s="111" t="s">
        <v>10</v>
      </c>
      <c r="F11" s="111"/>
      <c r="G11" s="112" t="s">
        <v>11</v>
      </c>
      <c r="H11" s="112"/>
      <c r="I11" s="113" t="s">
        <v>12</v>
      </c>
      <c r="J11" s="113"/>
      <c r="K11" s="2"/>
      <c r="L11" s="87" t="s">
        <v>13</v>
      </c>
      <c r="M11" s="87"/>
      <c r="N11" s="89" t="s">
        <v>14</v>
      </c>
      <c r="O11" s="89"/>
    </row>
    <row r="12" spans="2:18" ht="15.75" customHeight="1" x14ac:dyDescent="0.35">
      <c r="B12" s="103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35</v>
      </c>
      <c r="F13" s="12">
        <f>SUMIFS(Inventory!E2:E1000,Inventory!D2:D1000,B13,Inventory!H2:H1000,"NO")</f>
        <v>34602</v>
      </c>
      <c r="G13" s="13">
        <f t="shared" ref="G13:G30" si="0">C13+E13</f>
        <v>53</v>
      </c>
      <c r="H13" s="14">
        <f t="shared" ref="H13:H30" si="1">D13+F13</f>
        <v>47576</v>
      </c>
      <c r="I13" s="15">
        <f t="shared" ref="I13:I31" si="2">IF(G13=0,"",C13/G13)</f>
        <v>0.33962264150943394</v>
      </c>
      <c r="J13" s="15">
        <f t="shared" ref="J13:J31" si="3">IF(H13=0,"",D13/H13)</f>
        <v>0.27270052127122918</v>
      </c>
      <c r="K13" s="2"/>
      <c r="L13" s="16">
        <f ca="1">COUNTIFS(Inventory!D2:D1000,B13,Inventory!I2:I1000,"Not Retired")</f>
        <v>21</v>
      </c>
      <c r="M13" s="17">
        <f ca="1">SUMIFS(Inventory!E2:E1000,Inventory!D2:D1000,B13,Inventory!I2:I1000,"Not Retired")</f>
        <v>25116</v>
      </c>
      <c r="N13" s="18">
        <f ca="1">COUNTIFS(Inventory!D2:D1000,B13,Inventory!I2:I1000,"Retired")</f>
        <v>32</v>
      </c>
      <c r="O13" s="19">
        <f ca="1">SUMIFS(Inventory!E2:E1000,Inventory!D2:D1000,B13,Inventory!I2:I1000,"Retired")</f>
        <v>22460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3</v>
      </c>
      <c r="F16" s="24">
        <f>SUMIFS(Inventory!E2:E1000,Inventory!D2:D1000,B16,Inventory!H2:H1000,"NO")</f>
        <v>3844</v>
      </c>
      <c r="G16" s="25">
        <f t="shared" si="0"/>
        <v>9</v>
      </c>
      <c r="H16" s="26">
        <f t="shared" si="1"/>
        <v>12102</v>
      </c>
      <c r="I16" s="27">
        <f t="shared" si="2"/>
        <v>0.66666666666666663</v>
      </c>
      <c r="J16" s="27">
        <f t="shared" si="3"/>
        <v>0.68236655098330856</v>
      </c>
      <c r="K16" s="2"/>
      <c r="L16" s="28">
        <f ca="1">COUNTIFS(Inventory!D2:D1000,B16,Inventory!I2:I1000,"Not Retired")</f>
        <v>5</v>
      </c>
      <c r="M16" s="29">
        <f ca="1">SUMIFS(Inventory!E2:E1000,Inventory!D2:D1000,B16,Inventory!I2:I1000,"Not Retired")</f>
        <v>6167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6</v>
      </c>
      <c r="F17" s="12">
        <f>SUMIFS(Inventory!E2:E1000,Inventory!D2:D1000,B17,Inventory!H2:H1000,"NO")</f>
        <v>1857</v>
      </c>
      <c r="G17" s="13">
        <f t="shared" si="0"/>
        <v>10</v>
      </c>
      <c r="H17" s="14">
        <f t="shared" si="1"/>
        <v>3116</v>
      </c>
      <c r="I17" s="15">
        <f t="shared" si="2"/>
        <v>0.4</v>
      </c>
      <c r="J17" s="15">
        <f t="shared" si="3"/>
        <v>0.40404364569961487</v>
      </c>
      <c r="K17" s="2"/>
      <c r="L17" s="16">
        <f ca="1">COUNTIFS(Inventory!D2:D1000,B17,Inventory!I2:I1000,"Not Retired")</f>
        <v>9</v>
      </c>
      <c r="M17" s="17">
        <f ca="1">SUMIFS(Inventory!E2:E1000,Inventory!D2:D1000,B17,Inventory!I2:I1000,"Not Retired")</f>
        <v>2552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4</v>
      </c>
      <c r="F23" s="12">
        <f>SUMIFS(Inventory!E2:E1000,Inventory!D2:D1000,B23,Inventory!H2:H1000,"NO")</f>
        <v>8455</v>
      </c>
      <c r="G23" s="13">
        <f t="shared" si="0"/>
        <v>5</v>
      </c>
      <c r="H23" s="14">
        <f t="shared" si="1"/>
        <v>8700</v>
      </c>
      <c r="I23" s="15">
        <f t="shared" si="2"/>
        <v>0.2</v>
      </c>
      <c r="J23" s="15">
        <f t="shared" si="3"/>
        <v>2.8160919540229885E-2</v>
      </c>
      <c r="K23" s="2"/>
      <c r="L23" s="16">
        <f ca="1">COUNTIFS(Inventory!D2:D1000,B23,Inventory!I2:I1000,"Not Retired")</f>
        <v>5</v>
      </c>
      <c r="M23" s="17">
        <f ca="1">SUMIFS(Inventory!E2:E1000,Inventory!D2:D1000,B23,Inventory!I2:I1000,"Not Retired")</f>
        <v>8700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1</v>
      </c>
      <c r="F26" s="24">
        <f>SUMIFS(Inventory!E2:E1000,Inventory!D2:D1000,B26,Inventory!H2:H1000,"NO")</f>
        <v>1154</v>
      </c>
      <c r="G26" s="25">
        <f t="shared" si="0"/>
        <v>2</v>
      </c>
      <c r="H26" s="26">
        <f t="shared" si="1"/>
        <v>4299</v>
      </c>
      <c r="I26" s="27">
        <f t="shared" si="2"/>
        <v>0.5</v>
      </c>
      <c r="J26" s="27">
        <f t="shared" si="3"/>
        <v>0.73156548034426616</v>
      </c>
      <c r="K26" s="2"/>
      <c r="L26" s="28">
        <f ca="1">COUNTIFS(Inventory!D2:D1000,B26,Inventory!I2:I1000,"Not Retired")</f>
        <v>2</v>
      </c>
      <c r="M26" s="29">
        <f ca="1">SUMIFS(Inventory!E2:E1000,Inventory!D2:D1000,B26,Inventory!I2:I1000,"Not Retired")</f>
        <v>4299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80</v>
      </c>
      <c r="F31" s="33">
        <f t="shared" si="4"/>
        <v>108608</v>
      </c>
      <c r="G31" s="1">
        <f t="shared" si="4"/>
        <v>146</v>
      </c>
      <c r="H31" s="33">
        <f t="shared" si="4"/>
        <v>184648</v>
      </c>
      <c r="I31" s="34">
        <f t="shared" si="2"/>
        <v>0.45205479452054792</v>
      </c>
      <c r="J31" s="34">
        <f t="shared" si="3"/>
        <v>0.41181058013084354</v>
      </c>
      <c r="K31" s="2"/>
      <c r="L31" s="1">
        <f ca="1">SUM(L13:L30)</f>
        <v>79</v>
      </c>
      <c r="M31" s="33">
        <f ca="1">SUM(M13:M30)</f>
        <v>116357</v>
      </c>
      <c r="N31" s="1">
        <f ca="1">SUM(N13:N30)</f>
        <v>67</v>
      </c>
      <c r="O31" s="33">
        <f ca="1">SUM(O13:O30)</f>
        <v>68291</v>
      </c>
    </row>
    <row r="32" spans="2:15" ht="11" customHeight="1" x14ac:dyDescent="0.35"/>
    <row r="33" spans="2:18" ht="19.5" customHeight="1" x14ac:dyDescent="0.35">
      <c r="B33" s="92" t="s">
        <v>38</v>
      </c>
      <c r="C33" s="92"/>
      <c r="D33" s="92"/>
      <c r="E33" s="55"/>
      <c r="F33" s="91" t="s">
        <v>42</v>
      </c>
      <c r="G33" s="91"/>
      <c r="H33" s="91"/>
      <c r="I33" s="91"/>
      <c r="J33" s="91"/>
      <c r="K33" s="91"/>
      <c r="L33" s="91"/>
      <c r="M33" s="91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87" t="s">
        <v>13</v>
      </c>
      <c r="H34" s="88"/>
      <c r="I34" s="89" t="s">
        <v>14</v>
      </c>
      <c r="J34" s="90"/>
      <c r="K34" s="101" t="s">
        <v>11</v>
      </c>
      <c r="L34" s="102"/>
      <c r="M34" s="102"/>
      <c r="R34" s="36"/>
    </row>
    <row r="35" spans="2:18" ht="15" customHeight="1" x14ac:dyDescent="0.35">
      <c r="B35" s="37">
        <v>2002</v>
      </c>
      <c r="C35" s="37">
        <f>COUNTIF(Inventory!G2:G1000,B35)</f>
        <v>2</v>
      </c>
      <c r="D35" s="38">
        <f>SUMIF(Inventory!$G$2:$G$1000,B35,Inventory!$E$2:$E$1000)</f>
        <v>702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93" t="s">
        <v>15</v>
      </c>
      <c r="L35" s="94"/>
      <c r="M35" s="1" t="s">
        <v>16</v>
      </c>
    </row>
    <row r="36" spans="2:18" ht="15" customHeight="1" x14ac:dyDescent="0.35">
      <c r="B36" s="37">
        <v>2003</v>
      </c>
      <c r="C36" s="37">
        <f>COUNTIF(Inventory!G2:G1000,B36)</f>
        <v>2</v>
      </c>
      <c r="D36" s="38">
        <f>SUMIF(Inventory!$G$2:$G$1000,B36,Inventory!$E$2:$E$1000)</f>
        <v>813</v>
      </c>
      <c r="F36" s="20" t="s">
        <v>10</v>
      </c>
      <c r="G36" s="28">
        <f ca="1">COUNTIFS(Inventory!H2:H1000,"NO",Inventory!I2:I1000,"Not Retired")</f>
        <v>52</v>
      </c>
      <c r="H36" s="43">
        <f ca="1">SUMIFS(Inventory!E2:E1000,Inventory!H2:H1000,"NO",Inventory!I2:I1000,"Not Retired")</f>
        <v>80969</v>
      </c>
      <c r="I36" s="30">
        <f ca="1">COUNTIFS(Inventory!H2:H1000,"NO",Inventory!I2:I1000,"Retired")</f>
        <v>28</v>
      </c>
      <c r="J36" s="46">
        <f ca="1">SUMIFS(Inventory!E2:E1000,Inventory!H2:H1000,"NO",Inventory!I2:I1000,"Retired")</f>
        <v>27639</v>
      </c>
      <c r="K36" s="95">
        <f ca="1">G36+I36</f>
        <v>80</v>
      </c>
      <c r="L36" s="96"/>
      <c r="M36" s="47">
        <f ca="1">H36+J36</f>
        <v>108608</v>
      </c>
    </row>
    <row r="37" spans="2:18" ht="15" customHeight="1" x14ac:dyDescent="0.35">
      <c r="B37" s="37">
        <v>2011</v>
      </c>
      <c r="C37" s="37">
        <f>COUNTIF(Inventory!G2:G1000,B37)</f>
        <v>1</v>
      </c>
      <c r="D37" s="38">
        <f>SUMIF(Inventory!$G$2:$G$1000,B37,Inventory!$E$2:$E$1000)</f>
        <v>560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97">
        <f ca="1">G37+I37</f>
        <v>66</v>
      </c>
      <c r="L37" s="98"/>
      <c r="M37" s="50">
        <f ca="1">H37+J37</f>
        <v>76040</v>
      </c>
    </row>
    <row r="38" spans="2:18" ht="15" customHeight="1" x14ac:dyDescent="0.35">
      <c r="B38" s="39">
        <v>2012</v>
      </c>
      <c r="C38" s="39">
        <f>COUNTIF(Inventory!G2:G1000,B38)</f>
        <v>1</v>
      </c>
      <c r="D38" s="40">
        <f>SUMIF(Inventory!G2:G1000,B38,Inventory!E2:E1000)</f>
        <v>4287</v>
      </c>
      <c r="F38" s="32" t="s">
        <v>11</v>
      </c>
      <c r="G38" s="1">
        <f t="shared" ref="G38:J38" ca="1" si="5">G36+G37</f>
        <v>79</v>
      </c>
      <c r="H38" s="33">
        <f t="shared" ca="1" si="5"/>
        <v>116357</v>
      </c>
      <c r="I38" s="1">
        <f t="shared" ca="1" si="5"/>
        <v>67</v>
      </c>
      <c r="J38" s="33">
        <f t="shared" ca="1" si="5"/>
        <v>68291</v>
      </c>
      <c r="K38" s="99">
        <f ca="1">K36+K37</f>
        <v>146</v>
      </c>
      <c r="L38" s="100"/>
      <c r="M38" s="33">
        <f ca="1">M36+M37</f>
        <v>184648</v>
      </c>
    </row>
    <row r="39" spans="2:18" ht="15" customHeight="1" x14ac:dyDescent="0.35">
      <c r="B39" s="37">
        <v>2015</v>
      </c>
      <c r="C39" s="37">
        <f>COUNTIF(Inventory!G2:G1000,B39)</f>
        <v>2</v>
      </c>
      <c r="D39" s="38">
        <f>SUMIF(Inventory!G2:G1000,B39,Inventory!E2:E1000)</f>
        <v>708</v>
      </c>
      <c r="F39" s="36"/>
      <c r="G39" s="36"/>
      <c r="H39" s="36"/>
    </row>
    <row r="40" spans="2:18" ht="15" customHeight="1" x14ac:dyDescent="0.35">
      <c r="B40" s="39">
        <v>2016</v>
      </c>
      <c r="C40" s="39">
        <f>COUNTIF(Inventory!G2:G1000,B40)</f>
        <v>7</v>
      </c>
      <c r="D40" s="40">
        <f>SUMIF(Inventory!G2:G1000,B40,Inventory!E2:E1000)</f>
        <v>4706</v>
      </c>
      <c r="F40" s="36"/>
      <c r="G40" s="36"/>
      <c r="H40" s="36"/>
    </row>
    <row r="41" spans="2:18" ht="15" customHeight="1" x14ac:dyDescent="0.35">
      <c r="B41" s="37">
        <v>2017</v>
      </c>
      <c r="C41" s="37">
        <f>COUNTIF(Inventory!G2:G1000,B41)</f>
        <v>8</v>
      </c>
      <c r="D41" s="38">
        <f>SUMIF(Inventory!G2:G1000,B41,Inventory!E2:E1000)</f>
        <v>3175</v>
      </c>
    </row>
    <row r="42" spans="2:18" ht="15" customHeight="1" x14ac:dyDescent="0.35">
      <c r="B42" s="39">
        <v>2018</v>
      </c>
      <c r="C42" s="39">
        <f>COUNTIF(Inventory!G2:G1000,B42)</f>
        <v>4</v>
      </c>
      <c r="D42" s="40">
        <f>SUMIF(Inventory!G2:G1000,B42,Inventory!E2:E1000)</f>
        <v>5981</v>
      </c>
    </row>
    <row r="43" spans="2:18" ht="15" customHeight="1" x14ac:dyDescent="0.35">
      <c r="B43" s="37">
        <v>2021</v>
      </c>
      <c r="C43" s="37">
        <f>COUNTIF(Inventory!G2:G1000,B43)</f>
        <v>4</v>
      </c>
      <c r="D43" s="38">
        <f>SUMIF(Inventory!G2:G1000,B43,Inventory!E2:E1000)</f>
        <v>2574</v>
      </c>
    </row>
    <row r="44" spans="2:18" ht="15" customHeight="1" x14ac:dyDescent="0.35">
      <c r="B44" s="39">
        <v>2022</v>
      </c>
      <c r="C44" s="39">
        <f>COUNTIF(Inventory!G2:G1000,B44)</f>
        <v>8</v>
      </c>
      <c r="D44" s="40">
        <f>SUMIF(Inventory!G2:G1000,B44,Inventory!E2:E1000)</f>
        <v>8591</v>
      </c>
    </row>
    <row r="45" spans="2:18" ht="15" customHeight="1" x14ac:dyDescent="0.35">
      <c r="B45" s="37">
        <v>2023</v>
      </c>
      <c r="C45" s="37">
        <f>COUNTIF(Inventory!G2:G1000,B45)</f>
        <v>5</v>
      </c>
      <c r="D45" s="38">
        <f>SUMIF(Inventory!G2:G1000,B45,Inventory!E2:E1000)</f>
        <v>4963</v>
      </c>
    </row>
    <row r="46" spans="2:18" ht="15" customHeight="1" x14ac:dyDescent="0.35">
      <c r="B46" s="39">
        <v>2024</v>
      </c>
      <c r="C46" s="39">
        <f>COUNTIF(Inventory!G2:G1000,B46)</f>
        <v>11</v>
      </c>
      <c r="D46" s="40">
        <f>SUMIF(Inventory!G2:G1000,B46,Inventory!E2:E1000)</f>
        <v>17807</v>
      </c>
    </row>
    <row r="47" spans="2:18" ht="15" customHeight="1" x14ac:dyDescent="0.35">
      <c r="B47" s="37">
        <v>2025</v>
      </c>
      <c r="C47" s="37">
        <f>COUNTIF(Inventory!G2:G1000,B47)</f>
        <v>11</v>
      </c>
      <c r="D47" s="38">
        <f>SUMIF(Inventory!G2:G1000,B47,Inventory!E2:E1000)</f>
        <v>12937</v>
      </c>
    </row>
    <row r="48" spans="2:18" ht="16.5" customHeight="1" x14ac:dyDescent="0.35">
      <c r="B48" s="41">
        <v>2026</v>
      </c>
      <c r="C48" s="41">
        <f>COUNTIF(Inventory!G2:G1000,B48)</f>
        <v>23</v>
      </c>
      <c r="D48" s="42">
        <f>SUMIF(Inventory!G2:G1000,B48,Inventory!E2:E1000)</f>
        <v>44701</v>
      </c>
    </row>
    <row r="49" spans="2:15" ht="8.5" customHeight="1" x14ac:dyDescent="0.35">
      <c r="B49" s="28" t="s">
        <v>41</v>
      </c>
      <c r="C49" s="28">
        <f>COUNTIF(Inventory!G2:G1000,"-")</f>
        <v>56</v>
      </c>
      <c r="D49" s="43">
        <f>SUMIF(Inventory!G2:G1000,"-",Inventory!E2:E1000)</f>
        <v>71656</v>
      </c>
    </row>
    <row r="50" spans="2:15" ht="48" customHeight="1" x14ac:dyDescent="0.35">
      <c r="B50" s="44" t="s">
        <v>37</v>
      </c>
      <c r="C50" s="35">
        <f>SUM(C35:C49)</f>
        <v>145</v>
      </c>
      <c r="D50" s="45">
        <f>SUM(D35:D49)</f>
        <v>184161</v>
      </c>
    </row>
    <row r="51" spans="2:15" ht="15.75" customHeight="1" x14ac:dyDescent="0.35"/>
    <row r="52" spans="2:15" ht="9.75" customHeight="1" x14ac:dyDescent="0.35">
      <c r="B52" s="86" t="s">
        <v>40</v>
      </c>
      <c r="C52" s="86"/>
      <c r="D52" s="86"/>
    </row>
    <row r="53" spans="2:15" ht="19.5" customHeight="1" x14ac:dyDescent="0.35">
      <c r="B53" s="36"/>
      <c r="C53" s="36"/>
      <c r="D53" s="36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36"/>
      <c r="C54" s="36"/>
      <c r="D54" s="36"/>
      <c r="E54" s="35" t="s">
        <v>15</v>
      </c>
    </row>
    <row r="55" spans="2:15" ht="13.5" customHeight="1" x14ac:dyDescent="0.35">
      <c r="B55" s="54" t="s">
        <v>43</v>
      </c>
      <c r="C55" s="54"/>
      <c r="D55" s="54"/>
      <c r="E55" s="28">
        <f ca="1">COUNTIF(Inventory!I2:I1000,"Not Retired")</f>
        <v>79</v>
      </c>
    </row>
    <row r="56" spans="2:15" ht="13.5" customHeight="1" x14ac:dyDescent="0.35">
      <c r="B56" s="1" t="s">
        <v>44</v>
      </c>
      <c r="C56" s="1" t="s">
        <v>15</v>
      </c>
      <c r="D56" s="35" t="s">
        <v>45</v>
      </c>
      <c r="E56" s="18">
        <f ca="1">COUNTIF(Inventory!I2:I1000,"Retired")</f>
        <v>67</v>
      </c>
    </row>
    <row r="57" spans="2:15" x14ac:dyDescent="0.35">
      <c r="B57" s="21" t="s">
        <v>9</v>
      </c>
      <c r="C57" s="21">
        <f>COUNTIF(Inventory!H2:H1000,"YES")</f>
        <v>66</v>
      </c>
      <c r="D57" s="28" t="s">
        <v>13</v>
      </c>
    </row>
    <row r="58" spans="2:15" x14ac:dyDescent="0.35">
      <c r="B58" s="11" t="s">
        <v>10</v>
      </c>
      <c r="C58" s="11">
        <f>COUNTIF(Inventory!H2:H1000,"NO")</f>
        <v>80</v>
      </c>
      <c r="D58" s="18" t="s">
        <v>14</v>
      </c>
    </row>
  </sheetData>
  <mergeCells count="44">
    <mergeCell ref="J5:L5"/>
    <mergeCell ref="B2:O2"/>
    <mergeCell ref="B4:C4"/>
    <mergeCell ref="D4:E4"/>
    <mergeCell ref="F4:G4"/>
    <mergeCell ref="H4:I4"/>
    <mergeCell ref="J4:L4"/>
    <mergeCell ref="B6:C6"/>
    <mergeCell ref="D6:E6"/>
    <mergeCell ref="F6:G6"/>
    <mergeCell ref="H6:I6"/>
    <mergeCell ref="B5:C5"/>
    <mergeCell ref="D5:E5"/>
    <mergeCell ref="F5:G5"/>
    <mergeCell ref="H5:I5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J6:L6"/>
    <mergeCell ref="J7:L7"/>
    <mergeCell ref="J8:L8"/>
    <mergeCell ref="B52:D52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39" activePane="bottomLeft" state="frozen"/>
      <selection pane="bottomLeft" activeCell="D148" sqref="D148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>
        <v>40917</v>
      </c>
      <c r="C139" s="67" t="s">
        <v>202</v>
      </c>
      <c r="D139" s="68" t="s">
        <v>19</v>
      </c>
      <c r="E139" s="66">
        <v>278</v>
      </c>
      <c r="F139" s="66">
        <v>2026</v>
      </c>
      <c r="G139" s="66">
        <v>2026</v>
      </c>
      <c r="H139" s="68" t="s">
        <v>55</v>
      </c>
      <c r="I139" s="66" t="str">
        <f t="shared" ca="1" si="4"/>
        <v>Not Retired</v>
      </c>
    </row>
    <row r="140" spans="1:9" ht="14.25" customHeight="1" x14ac:dyDescent="0.35">
      <c r="A140" s="68">
        <f t="shared" si="5"/>
        <v>139</v>
      </c>
      <c r="B140" s="66">
        <v>40926</v>
      </c>
      <c r="C140" s="67" t="s">
        <v>203</v>
      </c>
      <c r="D140" s="68" t="s">
        <v>29</v>
      </c>
      <c r="E140" s="66">
        <v>479</v>
      </c>
      <c r="F140" s="66">
        <v>2026</v>
      </c>
      <c r="G140" s="66" t="s">
        <v>54</v>
      </c>
      <c r="H140" s="68" t="s">
        <v>55</v>
      </c>
      <c r="I140" s="66" t="str">
        <f t="shared" ca="1" si="4"/>
        <v>Not Retired</v>
      </c>
    </row>
    <row r="141" spans="1:9" ht="14.25" customHeight="1" x14ac:dyDescent="0.35">
      <c r="A141" s="68">
        <f t="shared" si="5"/>
        <v>140</v>
      </c>
      <c r="B141" s="66">
        <v>21368</v>
      </c>
      <c r="C141" s="67" t="s">
        <v>204</v>
      </c>
      <c r="D141" s="68" t="s">
        <v>22</v>
      </c>
      <c r="E141" s="66">
        <v>964</v>
      </c>
      <c r="F141" s="66">
        <v>2026</v>
      </c>
      <c r="G141" s="66" t="s">
        <v>54</v>
      </c>
      <c r="H141" s="68" t="s">
        <v>55</v>
      </c>
      <c r="I141" s="66" t="str">
        <f t="shared" ca="1" si="4"/>
        <v>Not Retired</v>
      </c>
    </row>
    <row r="142" spans="1:9" ht="14.25" customHeight="1" x14ac:dyDescent="0.35">
      <c r="A142" s="68">
        <f t="shared" si="5"/>
        <v>141</v>
      </c>
      <c r="B142" s="66">
        <v>77260</v>
      </c>
      <c r="C142" s="67" t="s">
        <v>205</v>
      </c>
      <c r="D142" s="68" t="s">
        <v>23</v>
      </c>
      <c r="E142" s="66">
        <v>292</v>
      </c>
      <c r="F142" s="66">
        <v>2026</v>
      </c>
      <c r="G142" s="66" t="s">
        <v>54</v>
      </c>
      <c r="H142" s="68" t="s">
        <v>55</v>
      </c>
      <c r="I142" s="66" t="str">
        <f t="shared" ca="1" si="4"/>
        <v>Not Retired</v>
      </c>
    </row>
    <row r="143" spans="1:9" ht="14.25" customHeight="1" x14ac:dyDescent="0.35">
      <c r="A143" s="68">
        <f t="shared" si="5"/>
        <v>142</v>
      </c>
      <c r="B143" s="66">
        <v>77985</v>
      </c>
      <c r="C143" s="67" t="s">
        <v>206</v>
      </c>
      <c r="D143" s="68" t="s">
        <v>32</v>
      </c>
      <c r="E143" s="66">
        <v>1154</v>
      </c>
      <c r="F143" s="66">
        <v>2026</v>
      </c>
      <c r="G143" s="66" t="s">
        <v>54</v>
      </c>
      <c r="H143" s="68" t="s">
        <v>55</v>
      </c>
      <c r="I143" s="66" t="str">
        <f t="shared" ca="1" si="4"/>
        <v>Not Retired</v>
      </c>
    </row>
    <row r="144" spans="1:9" ht="14.25" customHeight="1" x14ac:dyDescent="0.35">
      <c r="A144" s="68">
        <f t="shared" si="5"/>
        <v>143</v>
      </c>
      <c r="B144" s="66">
        <v>8007</v>
      </c>
      <c r="C144" s="67" t="s">
        <v>208</v>
      </c>
      <c r="D144" s="68" t="s">
        <v>19</v>
      </c>
      <c r="E144" s="66">
        <v>341</v>
      </c>
      <c r="F144" s="66">
        <v>2001</v>
      </c>
      <c r="G144" s="66">
        <v>2002</v>
      </c>
      <c r="H144" s="68" t="s">
        <v>55</v>
      </c>
      <c r="I144" s="66" t="str">
        <f t="shared" ca="1" si="4"/>
        <v>Retired</v>
      </c>
    </row>
    <row r="145" spans="1:9" ht="14.25" customHeight="1" x14ac:dyDescent="0.35">
      <c r="A145" s="68">
        <f t="shared" si="5"/>
        <v>144</v>
      </c>
      <c r="B145" s="66">
        <v>8008</v>
      </c>
      <c r="C145" s="67" t="s">
        <v>209</v>
      </c>
      <c r="D145" s="68" t="s">
        <v>19</v>
      </c>
      <c r="E145" s="66">
        <v>361</v>
      </c>
      <c r="F145" s="66">
        <v>2001</v>
      </c>
      <c r="G145" s="66">
        <v>2002</v>
      </c>
      <c r="H145" s="68" t="s">
        <v>55</v>
      </c>
      <c r="I145" s="66" t="str">
        <f t="shared" ca="1" si="4"/>
        <v>Retired</v>
      </c>
    </row>
    <row r="146" spans="1:9" ht="14.25" customHeight="1" x14ac:dyDescent="0.35">
      <c r="A146" s="68">
        <f t="shared" si="5"/>
        <v>145</v>
      </c>
      <c r="B146" s="66">
        <v>8010</v>
      </c>
      <c r="C146" s="67" t="s">
        <v>207</v>
      </c>
      <c r="D146" s="68" t="s">
        <v>19</v>
      </c>
      <c r="E146" s="66">
        <v>391</v>
      </c>
      <c r="F146" s="66">
        <v>2002</v>
      </c>
      <c r="G146" s="66">
        <v>2003</v>
      </c>
      <c r="H146" s="68" t="s">
        <v>55</v>
      </c>
      <c r="I146" s="66" t="str">
        <f t="shared" ca="1" si="4"/>
        <v>Retired</v>
      </c>
    </row>
    <row r="147" spans="1:9" ht="14.25" customHeight="1" x14ac:dyDescent="0.35">
      <c r="A147" s="68">
        <f t="shared" si="5"/>
        <v>146</v>
      </c>
      <c r="B147" s="66">
        <v>8011</v>
      </c>
      <c r="C147" s="67" t="s">
        <v>121</v>
      </c>
      <c r="D147" s="68" t="s">
        <v>19</v>
      </c>
      <c r="E147" s="66">
        <v>422</v>
      </c>
      <c r="F147" s="66">
        <v>2002</v>
      </c>
      <c r="G147" s="66">
        <v>2003</v>
      </c>
      <c r="H147" s="68" t="s">
        <v>55</v>
      </c>
      <c r="I147" s="66" t="str">
        <f t="shared" ca="1" si="4"/>
        <v>Retired</v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workbookViewId="0">
      <selection activeCell="B2" sqref="B2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v>46189</v>
      </c>
    </row>
    <row r="2" spans="1:2" x14ac:dyDescent="0.35">
      <c r="A2" t="s">
        <v>201</v>
      </c>
      <c r="B2" s="7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2026-06-19T17:08:58Z</dcterms:modified>
  <dc:language>en-US</dc:language>
</cp:coreProperties>
</file>