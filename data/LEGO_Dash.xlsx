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fran\OneDrive\Desktop\"/>
    </mc:Choice>
  </mc:AlternateContent>
  <xr:revisionPtr revIDLastSave="0" documentId="13_ncr:1_{E9DE96BB-D8E3-4749-A7EF-50801F4EAEED}" xr6:coauthVersionLast="47" xr6:coauthVersionMax="47" xr10:uidLastSave="{00000000-0000-0000-0000-000000000000}"/>
  <bookViews>
    <workbookView xWindow="1140" yWindow="390" windowWidth="19180" windowHeight="20020" tabRatio="500" xr2:uid="{00000000-000D-0000-FFFF-FFFF00000000}"/>
  </bookViews>
  <sheets>
    <sheet name="Dashboard" sheetId="1" r:id="rId1"/>
    <sheet name="Inventory" sheetId="2" r:id="rId2"/>
    <sheet name="Wishlist" sheetId="5" r:id="rId3"/>
    <sheet name="Settings" sheetId="6" r:id="rId4"/>
  </sheets>
  <definedNames>
    <definedName name="_xlnm._FilterDatabase" localSheetId="1" hidden="1">Inventory!$A$1:$K$258</definedName>
    <definedName name="Slicer_Built">#N/A</definedName>
    <definedName name="Slicer_Retired">#N/A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" i="6" l="1"/>
  <c r="F38" i="1"/>
  <c r="E38" i="1"/>
  <c r="D38" i="1"/>
  <c r="C38" i="1"/>
  <c r="F37" i="1"/>
  <c r="E37" i="1"/>
  <c r="D37" i="1"/>
  <c r="C37" i="1"/>
  <c r="F36" i="1"/>
  <c r="E36" i="1"/>
  <c r="D36" i="1"/>
  <c r="C36" i="1"/>
  <c r="F35" i="1"/>
  <c r="E35" i="1"/>
  <c r="D35" i="1"/>
  <c r="C35" i="1"/>
  <c r="F34" i="1"/>
  <c r="E34" i="1"/>
  <c r="D34" i="1"/>
  <c r="C34" i="1"/>
  <c r="F33" i="1"/>
  <c r="E33" i="1"/>
  <c r="D33" i="1"/>
  <c r="C33" i="1"/>
  <c r="F32" i="1"/>
  <c r="E32" i="1"/>
  <c r="D32" i="1"/>
  <c r="C32" i="1"/>
  <c r="F31" i="1"/>
  <c r="E31" i="1"/>
  <c r="D31" i="1"/>
  <c r="C31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D44" i="1"/>
  <c r="D43" i="1"/>
  <c r="D45" i="1"/>
  <c r="C43" i="1"/>
  <c r="C44" i="1"/>
  <c r="D5" i="1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I2" i="2"/>
  <c r="D57" i="1"/>
  <c r="C57" i="1"/>
  <c r="D56" i="1"/>
  <c r="C56" i="1"/>
  <c r="D55" i="1"/>
  <c r="C55" i="1"/>
  <c r="D54" i="1"/>
  <c r="C54" i="1"/>
  <c r="D53" i="1"/>
  <c r="C53" i="1"/>
  <c r="D52" i="1"/>
  <c r="C52" i="1"/>
  <c r="D51" i="1"/>
  <c r="C51" i="1"/>
  <c r="D50" i="1"/>
  <c r="C50" i="1"/>
  <c r="D49" i="1"/>
  <c r="C49" i="1"/>
  <c r="D48" i="1"/>
  <c r="C48" i="1"/>
  <c r="D47" i="1"/>
  <c r="C47" i="1"/>
  <c r="D46" i="1"/>
  <c r="C46" i="1"/>
  <c r="C45" i="1"/>
  <c r="F6" i="1"/>
  <c r="D6" i="1"/>
  <c r="B6" i="1"/>
  <c r="F5" i="1"/>
  <c r="B5" i="1"/>
  <c r="F14" i="1" l="1"/>
  <c r="E14" i="1"/>
  <c r="D14" i="1"/>
  <c r="C14" i="1"/>
  <c r="F13" i="1"/>
  <c r="E13" i="1"/>
  <c r="D13" i="1"/>
  <c r="C13" i="1"/>
  <c r="L32" i="1"/>
  <c r="O31" i="1"/>
  <c r="N31" i="1"/>
  <c r="M31" i="1"/>
  <c r="L31" i="1"/>
  <c r="M32" i="1"/>
  <c r="N32" i="1"/>
  <c r="O32" i="1"/>
  <c r="O27" i="1"/>
  <c r="N27" i="1"/>
  <c r="M27" i="1"/>
  <c r="L27" i="1"/>
  <c r="O38" i="1"/>
  <c r="N38" i="1"/>
  <c r="M38" i="1"/>
  <c r="L38" i="1"/>
  <c r="H38" i="1"/>
  <c r="J38" i="1" s="1"/>
  <c r="G38" i="1"/>
  <c r="I38" i="1" s="1"/>
  <c r="O37" i="1"/>
  <c r="N37" i="1"/>
  <c r="M37" i="1"/>
  <c r="L37" i="1"/>
  <c r="O36" i="1"/>
  <c r="N36" i="1"/>
  <c r="M36" i="1"/>
  <c r="L36" i="1"/>
  <c r="O35" i="1"/>
  <c r="N35" i="1"/>
  <c r="M35" i="1"/>
  <c r="L35" i="1"/>
  <c r="O34" i="1"/>
  <c r="N34" i="1"/>
  <c r="M34" i="1"/>
  <c r="L34" i="1"/>
  <c r="O33" i="1"/>
  <c r="N33" i="1"/>
  <c r="M33" i="1"/>
  <c r="M30" i="1"/>
  <c r="O29" i="1"/>
  <c r="M29" i="1"/>
  <c r="O28" i="1"/>
  <c r="M28" i="1"/>
  <c r="M26" i="1"/>
  <c r="O25" i="1"/>
  <c r="M25" i="1"/>
  <c r="O24" i="1"/>
  <c r="M24" i="1"/>
  <c r="O23" i="1"/>
  <c r="M23" i="1"/>
  <c r="O22" i="1"/>
  <c r="M22" i="1"/>
  <c r="N21" i="1"/>
  <c r="L21" i="1"/>
  <c r="O21" i="1"/>
  <c r="L33" i="1"/>
  <c r="O30" i="1"/>
  <c r="N30" i="1"/>
  <c r="L30" i="1"/>
  <c r="N29" i="1"/>
  <c r="L29" i="1"/>
  <c r="N28" i="1"/>
  <c r="L28" i="1"/>
  <c r="O26" i="1"/>
  <c r="N26" i="1"/>
  <c r="L26" i="1"/>
  <c r="N25" i="1"/>
  <c r="L25" i="1"/>
  <c r="N24" i="1"/>
  <c r="L24" i="1"/>
  <c r="N23" i="1"/>
  <c r="L23" i="1"/>
  <c r="N22" i="1"/>
  <c r="L22" i="1"/>
  <c r="M21" i="1"/>
  <c r="H28" i="1"/>
  <c r="J28" i="1" s="1"/>
  <c r="H24" i="1"/>
  <c r="J24" i="1" s="1"/>
  <c r="G24" i="1"/>
  <c r="I24" i="1" s="1"/>
  <c r="G21" i="1"/>
  <c r="I21" i="1" s="1"/>
  <c r="H36" i="1"/>
  <c r="J36" i="1" s="1"/>
  <c r="G36" i="1"/>
  <c r="I36" i="1" s="1"/>
  <c r="H30" i="1"/>
  <c r="J30" i="1" s="1"/>
  <c r="G30" i="1"/>
  <c r="I30" i="1" s="1"/>
  <c r="G28" i="1"/>
  <c r="I28" i="1" s="1"/>
  <c r="H27" i="1"/>
  <c r="J27" i="1" s="1"/>
  <c r="G27" i="1"/>
  <c r="I27" i="1" s="1"/>
  <c r="H35" i="1"/>
  <c r="J35" i="1" s="1"/>
  <c r="H34" i="1"/>
  <c r="J34" i="1" s="1"/>
  <c r="G34" i="1"/>
  <c r="I34" i="1" s="1"/>
  <c r="H33" i="1"/>
  <c r="J33" i="1" s="1"/>
  <c r="G33" i="1"/>
  <c r="I33" i="1" s="1"/>
  <c r="H32" i="1"/>
  <c r="J32" i="1" s="1"/>
  <c r="G32" i="1"/>
  <c r="I32" i="1" s="1"/>
  <c r="H21" i="1"/>
  <c r="J21" i="1" s="1"/>
  <c r="H37" i="1"/>
  <c r="J37" i="1" s="1"/>
  <c r="G37" i="1"/>
  <c r="I37" i="1" s="1"/>
  <c r="G35" i="1"/>
  <c r="I35" i="1" s="1"/>
  <c r="H31" i="1"/>
  <c r="J31" i="1" s="1"/>
  <c r="G31" i="1"/>
  <c r="I31" i="1" s="1"/>
  <c r="H29" i="1"/>
  <c r="J29" i="1" s="1"/>
  <c r="G29" i="1"/>
  <c r="I29" i="1" s="1"/>
  <c r="H26" i="1"/>
  <c r="J26" i="1" s="1"/>
  <c r="G26" i="1"/>
  <c r="I26" i="1" s="1"/>
  <c r="H25" i="1"/>
  <c r="J25" i="1" s="1"/>
  <c r="G25" i="1"/>
  <c r="I25" i="1" s="1"/>
  <c r="H23" i="1"/>
  <c r="J23" i="1" s="1"/>
  <c r="G23" i="1"/>
  <c r="I23" i="1" s="1"/>
  <c r="H22" i="1"/>
  <c r="J22" i="1" s="1"/>
  <c r="G22" i="1"/>
  <c r="I22" i="1" s="1"/>
  <c r="O20" i="1"/>
  <c r="N20" i="1"/>
  <c r="M20" i="1"/>
  <c r="L20" i="1"/>
  <c r="C58" i="1"/>
  <c r="D58" i="1"/>
  <c r="G20" i="1"/>
  <c r="I20" i="1" s="1"/>
  <c r="H20" i="1"/>
  <c r="J20" i="1" s="1"/>
  <c r="E39" i="1"/>
  <c r="F39" i="1"/>
  <c r="H5" i="1"/>
  <c r="J5" i="1"/>
  <c r="C39" i="1"/>
  <c r="D39" i="1"/>
  <c r="H6" i="1"/>
  <c r="J6" i="1"/>
  <c r="H39" i="1" l="1"/>
  <c r="J39" i="1" s="1"/>
  <c r="G39" i="1"/>
  <c r="I39" i="1" s="1"/>
  <c r="F15" i="1"/>
  <c r="H14" i="1"/>
  <c r="E15" i="1"/>
  <c r="I59" i="1" s="1"/>
  <c r="N39" i="1"/>
  <c r="L39" i="1"/>
  <c r="M39" i="1"/>
  <c r="G14" i="1"/>
  <c r="G59" i="1" s="1"/>
  <c r="G13" i="1"/>
  <c r="G58" i="1" s="1"/>
  <c r="C15" i="1"/>
  <c r="I58" i="1" s="1"/>
  <c r="O39" i="1"/>
  <c r="H13" i="1"/>
  <c r="D15" i="1"/>
  <c r="H15" i="1" l="1"/>
  <c r="G15" i="1"/>
</calcChain>
</file>

<file path=xl/sharedStrings.xml><?xml version="1.0" encoding="utf-8"?>
<sst xmlns="http://schemas.openxmlformats.org/spreadsheetml/2006/main" count="674" uniqueCount="226">
  <si>
    <t>TOTAL SETS</t>
  </si>
  <si>
    <t>BUILT</t>
  </si>
  <si>
    <t>NOT RETIRED</t>
  </si>
  <si>
    <t>RETIRED</t>
  </si>
  <si>
    <t>total bricks owned</t>
  </si>
  <si>
    <t>bricks assembled</t>
  </si>
  <si>
    <t>bricks still in production</t>
  </si>
  <si>
    <t>BUILD PROGRESS BY THEME</t>
  </si>
  <si>
    <t>Built</t>
  </si>
  <si>
    <t>To Build</t>
  </si>
  <si>
    <t>Total</t>
  </si>
  <si>
    <t>Built %</t>
  </si>
  <si>
    <t>Not Retired</t>
  </si>
  <si>
    <t>Retired</t>
  </si>
  <si>
    <t>Sets</t>
  </si>
  <si>
    <t>Bricks</t>
  </si>
  <si>
    <t>% Sets</t>
  </si>
  <si>
    <t>% Bricks</t>
  </si>
  <si>
    <t>Star Wars</t>
  </si>
  <si>
    <t>Architecture</t>
  </si>
  <si>
    <t>Icons</t>
  </si>
  <si>
    <t>Ideas</t>
  </si>
  <si>
    <t>Speed Champions</t>
  </si>
  <si>
    <t>Super Mario</t>
  </si>
  <si>
    <t>Marvel</t>
  </si>
  <si>
    <t>Creator Expert</t>
  </si>
  <si>
    <t>Technic</t>
  </si>
  <si>
    <t>Editions</t>
  </si>
  <si>
    <t>Other</t>
  </si>
  <si>
    <t>Pokemon</t>
  </si>
  <si>
    <t>Disney</t>
  </si>
  <si>
    <t>Jurassic World</t>
  </si>
  <si>
    <t>Botanical Collection</t>
  </si>
  <si>
    <t>Harry Potter</t>
  </si>
  <si>
    <t>Creator</t>
  </si>
  <si>
    <t>DC</t>
  </si>
  <si>
    <t>TOTAL</t>
  </si>
  <si>
    <t>RETIREMENT BY YEAR</t>
  </si>
  <si>
    <t>Year</t>
  </si>
  <si>
    <t>📌  When a new retirement year appears in your inventory, insert a row above 2027+ and type the year — the formulas will pick it up automatically. The 2027+ row always catches everything not yet retired.</t>
  </si>
  <si>
    <t>2027+</t>
  </si>
  <si>
    <t>COLLECTION AT A GLANCE</t>
  </si>
  <si>
    <t>Build Status</t>
  </si>
  <si>
    <t>Retirement</t>
  </si>
  <si>
    <t>#</t>
  </si>
  <si>
    <t>Set Number</t>
  </si>
  <si>
    <t>Set Name</t>
  </si>
  <si>
    <t>Theme</t>
  </si>
  <si>
    <t>Pieces</t>
  </si>
  <si>
    <t>Year Released</t>
  </si>
  <si>
    <t>Year Retired</t>
  </si>
  <si>
    <t>Notre-Dame de Paris</t>
  </si>
  <si>
    <t>-</t>
  </si>
  <si>
    <t>NO</t>
  </si>
  <si>
    <t>Neuschwanstein Castle</t>
  </si>
  <si>
    <t>Himeji Castle</t>
  </si>
  <si>
    <t>Statue of Liberty</t>
  </si>
  <si>
    <t>YES</t>
  </si>
  <si>
    <t>Buckingham Palace</t>
  </si>
  <si>
    <t>Louvre</t>
  </si>
  <si>
    <t>New York City</t>
  </si>
  <si>
    <t>The White House</t>
  </si>
  <si>
    <t>Flatiron Buildiing</t>
  </si>
  <si>
    <t>London</t>
  </si>
  <si>
    <t>Brandenburg Gate</t>
  </si>
  <si>
    <t>Big Ben</t>
  </si>
  <si>
    <t>The Leaning Tower of Pisa</t>
  </si>
  <si>
    <t>Burj Khalifa</t>
  </si>
  <si>
    <t>The Iiffel Tower</t>
  </si>
  <si>
    <t>Berlin</t>
  </si>
  <si>
    <t>Lincoln Memorial</t>
  </si>
  <si>
    <t>Venice</t>
  </si>
  <si>
    <t>Bonsai Tree</t>
  </si>
  <si>
    <t>Playful Puppy Dog</t>
  </si>
  <si>
    <t>Tower Bridge</t>
  </si>
  <si>
    <t>Sydney Opera House</t>
  </si>
  <si>
    <t>The Eiffel Tower</t>
  </si>
  <si>
    <t>Titanic</t>
  </si>
  <si>
    <t>The Endurance</t>
  </si>
  <si>
    <t>Land Rover Classic Defender 90</t>
  </si>
  <si>
    <t>Golden Retreiver Puppy</t>
  </si>
  <si>
    <t>Concorde</t>
  </si>
  <si>
    <t>The Friends Apartment</t>
  </si>
  <si>
    <t>Back to the Future Time Machine</t>
  </si>
  <si>
    <t>Retro Radio</t>
  </si>
  <si>
    <t>Williams Racing FW14B &amp; Nigel Mansel</t>
  </si>
  <si>
    <t>McLaren MP4/4 &amp; Ayrton Senna</t>
  </si>
  <si>
    <t>Typewriter</t>
  </si>
  <si>
    <t>Tuxedo Cat</t>
  </si>
  <si>
    <t>Red London Telephone Box</t>
  </si>
  <si>
    <t>Seinfeld</t>
  </si>
  <si>
    <t>Gremlins: Gizmo</t>
  </si>
  <si>
    <t>Central Perk</t>
  </si>
  <si>
    <t>Disney Pixar Luxo Jr.</t>
  </si>
  <si>
    <t>Dinosaur Fossils: Tyrannosaurus rex</t>
  </si>
  <si>
    <t>Iron Man Mark 3 Collector's Edition</t>
  </si>
  <si>
    <t>Mosaic Maker</t>
  </si>
  <si>
    <t>Family Chistmas Tree</t>
  </si>
  <si>
    <t>Time Machine from Back to the Future</t>
  </si>
  <si>
    <t>Ferrari SF-24 F1 Race Car</t>
  </si>
  <si>
    <t>Millennium Falcon</t>
  </si>
  <si>
    <t>Chewbacca</t>
  </si>
  <si>
    <t>TIE Interceptor</t>
  </si>
  <si>
    <t>Yoda</t>
  </si>
  <si>
    <t>C-3PO</t>
  </si>
  <si>
    <t>The Child</t>
  </si>
  <si>
    <t>Grogu with Hover Pram</t>
  </si>
  <si>
    <t>Wicket the Ewok</t>
  </si>
  <si>
    <t>Darth Vader Helmet</t>
  </si>
  <si>
    <t>AT-AT Driver Helmet</t>
  </si>
  <si>
    <t>Poe's X-Wing Fighter</t>
  </si>
  <si>
    <t>Star Wars Logo</t>
  </si>
  <si>
    <t>Stormtrooper Helmet</t>
  </si>
  <si>
    <t>Boba Fett Helmet</t>
  </si>
  <si>
    <t>The Mandalorian Helmet</t>
  </si>
  <si>
    <t>BB-8™ Astromech Droid</t>
  </si>
  <si>
    <t>TIE Advanced Prototype</t>
  </si>
  <si>
    <t>General Griveous</t>
  </si>
  <si>
    <t>Darth Vader</t>
  </si>
  <si>
    <t>Jango Fett</t>
  </si>
  <si>
    <t>Captain Phasma</t>
  </si>
  <si>
    <t>First Order Stormtrooper</t>
  </si>
  <si>
    <t>Mario Kart - Mario &amp; Standard Kart</t>
  </si>
  <si>
    <t>Piranha Plant</t>
  </si>
  <si>
    <t>Game Boy</t>
  </si>
  <si>
    <t>Land Rover Defender</t>
  </si>
  <si>
    <t>App-Controlled To Gear Rally Car</t>
  </si>
  <si>
    <t>Fifa World Cup Official Trophy</t>
  </si>
  <si>
    <t>Ferrari F2004 &amp; Michael Shumacher</t>
  </si>
  <si>
    <t>Orange Cat</t>
  </si>
  <si>
    <t>Pikachu and Poke Ball</t>
  </si>
  <si>
    <t>Eevee</t>
  </si>
  <si>
    <t>Soccer Ball</t>
  </si>
  <si>
    <t>Ford Model T</t>
  </si>
  <si>
    <t>Lightning McQueen</t>
  </si>
  <si>
    <t>Douglas™ DC-3™ PAN AM® Airliner</t>
  </si>
  <si>
    <t>Luigi &amp; Mach 8</t>
  </si>
  <si>
    <t>Dobby™ the House-Elf</t>
  </si>
  <si>
    <t>APXGP Team Race Car from F1® The Movie</t>
  </si>
  <si>
    <t>Oracle Red Bull Racing RB20 F1® Race Car</t>
  </si>
  <si>
    <t>Mercedes-AMG F1® W15 Race Car</t>
  </si>
  <si>
    <t>WALL-E and EVE</t>
  </si>
  <si>
    <t>Kylo Ren™ Helmet</t>
  </si>
  <si>
    <t>Jango Fett™ Helmet</t>
  </si>
  <si>
    <t>Scout Trooper™ Helmet</t>
  </si>
  <si>
    <t>Luke Skywalker™ (Red Five) Helmet</t>
  </si>
  <si>
    <t>Dark Trooper™ Helmet</t>
  </si>
  <si>
    <t>Clone Commander Cody™ Helmet</t>
  </si>
  <si>
    <t>Princess Leia™ (Boushh™) Helmet</t>
  </si>
  <si>
    <t>Captain Rex™ Helmet</t>
  </si>
  <si>
    <t>Iron Man MK4 Bust</t>
  </si>
  <si>
    <t>The Mighty Bowser™</t>
  </si>
  <si>
    <t>Rocket &amp; Baby Groot</t>
  </si>
  <si>
    <t>The Lord of the Rings: Sauron's Helmet</t>
  </si>
  <si>
    <t>TIE Fighter Pilot™ Helmet</t>
  </si>
  <si>
    <t>LEGO® DC Batman™ Batmobile™ Tumbler: Scarecrow™ Showdown</t>
  </si>
  <si>
    <t>Luke Skywalker™ (Rebel Pilot)</t>
  </si>
  <si>
    <t>Sulley, Mike and Boo Figures</t>
  </si>
  <si>
    <t>Trevi Fountain</t>
  </si>
  <si>
    <t>Great Pyramid of Giza</t>
  </si>
  <si>
    <t>London Bus</t>
  </si>
  <si>
    <t>Imperial Star Destroyer™</t>
  </si>
  <si>
    <t>Nintendo Entertainment System™</t>
  </si>
  <si>
    <t>Mario Kart™ – Spiny Shell</t>
  </si>
  <si>
    <t>bricks still boxes</t>
  </si>
  <si>
    <t>bricks from retired sets</t>
  </si>
  <si>
    <r>
      <rPr>
        <b/>
        <sz val="22"/>
        <color theme="5"/>
        <rFont val="Calibri"/>
        <family val="2"/>
      </rPr>
      <t>🧱</t>
    </r>
    <r>
      <rPr>
        <b/>
        <sz val="22"/>
        <color rgb="FFFFFFFF"/>
        <rFont val="Calibri"/>
        <family val="2"/>
        <charset val="1"/>
      </rPr>
      <t xml:space="preserve">  LEGO Collection Dashboard</t>
    </r>
  </si>
  <si>
    <t>Aston Martin Safety Car &amp; AMR23</t>
  </si>
  <si>
    <t>Atari® 2600</t>
  </si>
  <si>
    <t>Creative Play Droid Builder</t>
  </si>
  <si>
    <t>Battle Droid with STAP</t>
  </si>
  <si>
    <t>Yoda Bust</t>
  </si>
  <si>
    <t>Darth Vader Bust</t>
  </si>
  <si>
    <t>Luke Skywalker's X-wing Fighter</t>
  </si>
  <si>
    <t>Darth Vader Bust 2019</t>
  </si>
  <si>
    <t>Scuderia Ferrari HP Lewis Hamilton Helmet</t>
  </si>
  <si>
    <t>Scuderia Ferrari HP Charles Leclerc</t>
  </si>
  <si>
    <t>The Mandalorian's N-1 Starfighter™</t>
  </si>
  <si>
    <t>R2-D2 (2024)</t>
  </si>
  <si>
    <t>R2-D2 (2021)</t>
  </si>
  <si>
    <t>Las Vegas</t>
  </si>
  <si>
    <t>Grogu (Mandalorian Apprentice)</t>
  </si>
  <si>
    <t>Dubai</t>
  </si>
  <si>
    <t>Boba Fett Mech</t>
  </si>
  <si>
    <t>Darth Vader Mech</t>
  </si>
  <si>
    <t>Stormtrooper Mech</t>
  </si>
  <si>
    <t>X-wing Starfighter</t>
  </si>
  <si>
    <t>Audi Revolut F1 Team</t>
  </si>
  <si>
    <t>Hulkbuster</t>
  </si>
  <si>
    <t>McLaren Mastercard F1® Team Lando Norris Helmet</t>
  </si>
  <si>
    <t>McLaren Mastercard F1® Team Oscar Piastri Helmet</t>
  </si>
  <si>
    <t>The Darksaber</t>
  </si>
  <si>
    <t>SEGA® Genesis™ Console</t>
  </si>
  <si>
    <t>Peanuts: Snoopy's Doghouse</t>
  </si>
  <si>
    <t>The Fast and The Furious Toyota Supra MK4</t>
  </si>
  <si>
    <t>Dinosaur Fossils: Triceratops</t>
  </si>
  <si>
    <t>Darth Vader (2002)</t>
  </si>
  <si>
    <t>C-3PO (2001)</t>
  </si>
  <si>
    <t>Stormtrooper (2001)</t>
  </si>
  <si>
    <t>Ghostbusters ECTO-1</t>
  </si>
  <si>
    <t>The Dark Falcon</t>
  </si>
  <si>
    <t>Up-Scaled Darth Vader Minifigure</t>
  </si>
  <si>
    <t>Imperial Remnant AT-RT Driver Helmet</t>
  </si>
  <si>
    <t>Fast And Furious Dodge Charger R/T Car</t>
  </si>
  <si>
    <t>Dobby the Free Elf</t>
  </si>
  <si>
    <t>Shrek, Donkey &amp; Puss in Boots</t>
  </si>
  <si>
    <t>Shrek</t>
  </si>
  <si>
    <t>COLLECTION OVERVIEW</t>
  </si>
  <si>
    <t>UNBUILT</t>
  </si>
  <si>
    <t>UnBuilt</t>
  </si>
  <si>
    <t>Set #</t>
  </si>
  <si>
    <t>Got it?</t>
  </si>
  <si>
    <t>Fast &amp; Furious Toyota Supra MK4</t>
  </si>
  <si>
    <t>New York City – The Big Apple</t>
  </si>
  <si>
    <t>SEGA Mega Drive Console</t>
  </si>
  <si>
    <t>The Lord of the Rings: Minas Tirith</t>
  </si>
  <si>
    <t>Dodge Charger R/T</t>
  </si>
  <si>
    <t>Arcade Pinball Machine</t>
  </si>
  <si>
    <t>Batmobile Tumbler</t>
  </si>
  <si>
    <t>Boba Fett</t>
  </si>
  <si>
    <t>E.T. the Extra-Terrestrial</t>
  </si>
  <si>
    <t>Hanging Golden Pothos</t>
  </si>
  <si>
    <t>Sagrada Família</t>
  </si>
  <si>
    <t>Release Date</t>
  </si>
  <si>
    <t>Updated</t>
  </si>
  <si>
    <t>FIFA World Cup 2026 Official Emblem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</si>
</sst>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d\-mmm\-yy;@"/>
    <numFmt numFmtId="165" formatCode="[$-416]dd\-mmm\-yy;@"/>
  </numFmts>
  <fonts count="3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8"/>
      <color rgb="FF717D7E"/>
      <name val="Calibri"/>
      <charset val="1"/>
    </font>
    <font>
      <b/>
      <sz val="24"/>
      <color rgb="FF1E3A5F"/>
      <name val="Calibri"/>
      <charset val="1"/>
    </font>
    <font>
      <b/>
      <sz val="24"/>
      <color rgb="FF1E8449"/>
      <name val="Calibri"/>
      <charset val="1"/>
    </font>
    <font>
      <b/>
      <sz val="24"/>
      <color rgb="FFE67E22"/>
      <name val="Calibri"/>
      <charset val="1"/>
    </font>
    <font>
      <b/>
      <sz val="24"/>
      <color rgb="FF2471A3"/>
      <name val="Calibri"/>
      <charset val="1"/>
    </font>
    <font>
      <b/>
      <sz val="24"/>
      <color rgb="FF717D7E"/>
      <name val="Calibri"/>
      <charset val="1"/>
    </font>
    <font>
      <b/>
      <sz val="13"/>
      <color rgb="FF000000"/>
      <name val="Calibri"/>
      <charset val="1"/>
    </font>
    <font>
      <i/>
      <sz val="8"/>
      <color rgb="FF717D7E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1C1C1C"/>
      <name val="Calibri"/>
      <charset val="1"/>
    </font>
    <font>
      <b/>
      <sz val="9"/>
      <color rgb="FF1E8449"/>
      <name val="Calibri"/>
      <charset val="1"/>
    </font>
    <font>
      <sz val="9"/>
      <color rgb="FF1E8449"/>
      <name val="Calibri"/>
      <charset val="1"/>
    </font>
    <font>
      <b/>
      <sz val="9"/>
      <color rgb="FFE67E22"/>
      <name val="Calibri"/>
      <charset val="1"/>
    </font>
    <font>
      <sz val="9"/>
      <color rgb="FFE67E22"/>
      <name val="Calibri"/>
      <charset val="1"/>
    </font>
    <font>
      <b/>
      <sz val="9"/>
      <color rgb="FF1E3A5F"/>
      <name val="Calibri"/>
      <charset val="1"/>
    </font>
    <font>
      <sz val="9"/>
      <color rgb="FF1E3A5F"/>
      <name val="Calibri"/>
      <charset val="1"/>
    </font>
    <font>
      <sz val="9"/>
      <color rgb="FF1C1C1C"/>
      <name val="Calibri"/>
      <charset val="1"/>
    </font>
    <font>
      <b/>
      <sz val="9"/>
      <color rgb="FF2471A3"/>
      <name val="Calibri"/>
      <charset val="1"/>
    </font>
    <font>
      <sz val="9"/>
      <color rgb="FF2471A3"/>
      <name val="Calibri"/>
      <charset val="1"/>
    </font>
    <font>
      <b/>
      <sz val="9"/>
      <color rgb="FF717D7E"/>
      <name val="Calibri"/>
      <charset val="1"/>
    </font>
    <font>
      <sz val="9"/>
      <color rgb="FF717D7E"/>
      <name val="Calibri"/>
      <charset val="1"/>
    </font>
    <font>
      <b/>
      <sz val="9"/>
      <color rgb="FFC0392B"/>
      <name val="Calibri"/>
      <charset val="1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717D7E"/>
      <name val="Calibri"/>
      <family val="2"/>
    </font>
    <font>
      <b/>
      <sz val="22"/>
      <color theme="5"/>
      <name val="Calibri"/>
      <family val="2"/>
    </font>
    <font>
      <b/>
      <sz val="22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717D7E"/>
      <name val="Calibri"/>
      <family val="2"/>
    </font>
    <font>
      <b/>
      <sz val="9"/>
      <color rgb="FF1C1C1C"/>
      <name val="Calibri"/>
      <family val="2"/>
    </font>
    <font>
      <b/>
      <sz val="9"/>
      <color rgb="FFE67E22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3A5F"/>
        <bgColor rgb="FF305496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1E8449"/>
        <bgColor rgb="FF008000"/>
      </patternFill>
    </fill>
    <fill>
      <patternFill patternType="solid">
        <fgColor rgb="FFE67E22"/>
        <bgColor rgb="FFCC7C3A"/>
      </patternFill>
    </fill>
    <fill>
      <patternFill patternType="solid">
        <fgColor rgb="FF2471A3"/>
        <bgColor rgb="FF416A9C"/>
      </patternFill>
    </fill>
    <fill>
      <patternFill patternType="solid">
        <fgColor rgb="FF717D7E"/>
        <bgColor rgb="FF8064A2"/>
      </patternFill>
    </fill>
    <fill>
      <patternFill patternType="solid">
        <fgColor rgb="FFD4AC0D"/>
        <bgColor rgb="FFF79646"/>
      </patternFill>
    </fill>
    <fill>
      <patternFill patternType="solid">
        <fgColor rgb="FFC0392B"/>
        <bgColor rgb="FFDA3B30"/>
      </patternFill>
    </fill>
    <fill>
      <patternFill patternType="solid">
        <fgColor rgb="FFF9E79F"/>
        <bgColor rgb="FFDDDDDD"/>
      </patternFill>
    </fill>
    <fill>
      <patternFill patternType="solid">
        <fgColor rgb="FF305496"/>
        <bgColor rgb="FF416A9C"/>
      </patternFill>
    </fill>
    <fill>
      <patternFill patternType="solid">
        <fgColor theme="6" tint="-0.249977111117893"/>
        <bgColor rgb="FF416A9C"/>
      </patternFill>
    </fill>
  </fills>
  <borders count="21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/>
      <right/>
      <top style="medium">
        <color rgb="FFDDDDDD"/>
      </top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 style="thick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</borders>
  <cellStyleXfs count="7">
    <xf numFmtId="0" fontId="0" fillId="0" borderId="0"/>
    <xf numFmtId="0" fontId="27" fillId="0" borderId="0">
      <alignment horizontal="left"/>
    </xf>
    <xf numFmtId="0" fontId="27" fillId="0" borderId="0"/>
    <xf numFmtId="0" fontId="27" fillId="0" borderId="0"/>
    <xf numFmtId="0" fontId="1" fillId="0" borderId="0"/>
    <xf numFmtId="0" fontId="1" fillId="0" borderId="0">
      <alignment horizontal="left"/>
    </xf>
    <xf numFmtId="0" fontId="27" fillId="0" borderId="0"/>
  </cellStyleXfs>
  <cellXfs count="139">
    <xf numFmtId="0" fontId="0" fillId="0" borderId="0" xfId="0"/>
    <xf numFmtId="0" fontId="12" fillId="2" borderId="4" xfId="0" applyFont="1" applyFill="1" applyBorder="1" applyAlignment="1">
      <alignment horizontal="center" vertical="center"/>
    </xf>
    <xf numFmtId="0" fontId="0" fillId="4" borderId="0" xfId="0" applyFill="1"/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/>
    </xf>
    <xf numFmtId="3" fontId="15" fillId="4" borderId="4" xfId="0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3" fontId="17" fillId="4" borderId="4" xfId="0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3" fontId="19" fillId="4" borderId="4" xfId="0" applyNumberFormat="1" applyFont="1" applyFill="1" applyBorder="1" applyAlignment="1">
      <alignment horizontal="center" vertical="center"/>
    </xf>
    <xf numFmtId="9" fontId="20" fillId="4" borderId="4" xfId="0" applyNumberFormat="1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3" fontId="22" fillId="4" borderId="4" xfId="0" applyNumberFormat="1" applyFont="1" applyFill="1" applyBorder="1" applyAlignment="1">
      <alignment horizontal="center" vertical="center"/>
    </xf>
    <xf numFmtId="0" fontId="23" fillId="4" borderId="4" xfId="0" applyFont="1" applyFill="1" applyBorder="1" applyAlignment="1">
      <alignment horizontal="center" vertical="center"/>
    </xf>
    <xf numFmtId="3" fontId="24" fillId="4" borderId="4" xfId="0" applyNumberFormat="1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center" vertical="center"/>
    </xf>
    <xf numFmtId="3" fontId="15" fillId="3" borderId="4" xfId="0" applyNumberFormat="1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3" fontId="17" fillId="3" borderId="4" xfId="0" applyNumberFormat="1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3" fontId="19" fillId="3" borderId="4" xfId="0" applyNumberFormat="1" applyFont="1" applyFill="1" applyBorder="1" applyAlignment="1">
      <alignment horizontal="center" vertical="center"/>
    </xf>
    <xf numFmtId="9" fontId="20" fillId="3" borderId="4" xfId="0" applyNumberFormat="1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3" fontId="22" fillId="3" borderId="4" xfId="0" applyNumberFormat="1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center" vertical="center"/>
    </xf>
    <xf numFmtId="3" fontId="24" fillId="3" borderId="4" xfId="0" applyNumberFormat="1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left" vertical="center"/>
    </xf>
    <xf numFmtId="3" fontId="12" fillId="2" borderId="4" xfId="0" applyNumberFormat="1" applyFont="1" applyFill="1" applyBorder="1" applyAlignment="1">
      <alignment horizontal="center" vertical="center"/>
    </xf>
    <xf numFmtId="9" fontId="12" fillId="2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4" borderId="4" xfId="0" applyFont="1" applyFill="1" applyBorder="1" applyAlignment="1">
      <alignment horizontal="center" vertical="center"/>
    </xf>
    <xf numFmtId="3" fontId="20" fillId="4" borderId="4" xfId="0" applyNumberFormat="1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3" fontId="20" fillId="3" borderId="4" xfId="0" applyNumberFormat="1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center" vertical="center"/>
    </xf>
    <xf numFmtId="3" fontId="25" fillId="11" borderId="4" xfId="0" applyNumberFormat="1" applyFont="1" applyFill="1" applyBorder="1" applyAlignment="1">
      <alignment horizontal="center" vertical="center"/>
    </xf>
    <xf numFmtId="3" fontId="21" fillId="3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3" fontId="12" fillId="10" borderId="4" xfId="0" applyNumberFormat="1" applyFont="1" applyFill="1" applyBorder="1" applyAlignment="1">
      <alignment horizontal="center" vertical="center"/>
    </xf>
    <xf numFmtId="3" fontId="23" fillId="3" borderId="4" xfId="0" applyNumberFormat="1" applyFont="1" applyFill="1" applyBorder="1" applyAlignment="1">
      <alignment horizontal="center" vertical="center"/>
    </xf>
    <xf numFmtId="3" fontId="18" fillId="3" borderId="4" xfId="0" applyNumberFormat="1" applyFont="1" applyFill="1" applyBorder="1" applyAlignment="1">
      <alignment horizontal="center" vertical="center"/>
    </xf>
    <xf numFmtId="3" fontId="21" fillId="4" borderId="4" xfId="0" applyNumberFormat="1" applyFont="1" applyFill="1" applyBorder="1" applyAlignment="1">
      <alignment horizontal="center" vertical="center"/>
    </xf>
    <xf numFmtId="3" fontId="23" fillId="4" borderId="4" xfId="0" applyNumberFormat="1" applyFont="1" applyFill="1" applyBorder="1" applyAlignment="1">
      <alignment horizontal="center" vertical="center"/>
    </xf>
    <xf numFmtId="3" fontId="18" fillId="4" borderId="4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wrapText="1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3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26" fillId="12" borderId="20" xfId="0" applyFont="1" applyFill="1" applyBorder="1" applyAlignment="1">
      <alignment horizontal="center" vertical="center"/>
    </xf>
    <xf numFmtId="1" fontId="26" fillId="12" borderId="20" xfId="0" applyNumberFormat="1" applyFont="1" applyFill="1" applyBorder="1" applyAlignment="1">
      <alignment horizontal="center" vertical="center"/>
    </xf>
    <xf numFmtId="0" fontId="26" fillId="12" borderId="20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33" fillId="3" borderId="4" xfId="0" applyFont="1" applyFill="1" applyBorder="1" applyAlignment="1">
      <alignment horizontal="left" vertical="center"/>
    </xf>
    <xf numFmtId="0" fontId="33" fillId="4" borderId="4" xfId="0" applyFont="1" applyFill="1" applyBorder="1" applyAlignment="1">
      <alignment horizontal="left" vertical="center"/>
    </xf>
    <xf numFmtId="0" fontId="34" fillId="4" borderId="4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/>
    </xf>
    <xf numFmtId="0" fontId="18" fillId="3" borderId="15" xfId="0" applyFont="1" applyFill="1" applyBorder="1" applyAlignment="1">
      <alignment horizontal="center"/>
    </xf>
    <xf numFmtId="0" fontId="18" fillId="4" borderId="15" xfId="0" applyFont="1" applyFill="1" applyBorder="1" applyAlignment="1">
      <alignment horizontal="center"/>
    </xf>
    <xf numFmtId="0" fontId="12" fillId="2" borderId="15" xfId="0" applyFont="1" applyFill="1" applyBorder="1" applyAlignment="1">
      <alignment horizontal="center"/>
    </xf>
    <xf numFmtId="3" fontId="26" fillId="12" borderId="20" xfId="0" applyNumberFormat="1" applyFont="1" applyFill="1" applyBorder="1" applyAlignment="1">
      <alignment horizontal="center" vertical="center"/>
    </xf>
    <xf numFmtId="3" fontId="0" fillId="0" borderId="17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26" fillId="13" borderId="20" xfId="0" applyNumberFormat="1" applyFont="1" applyFill="1" applyBorder="1" applyAlignment="1">
      <alignment horizontal="center" vertical="center"/>
    </xf>
    <xf numFmtId="0" fontId="26" fillId="13" borderId="20" xfId="0" applyFont="1" applyFill="1" applyBorder="1" applyAlignment="1">
      <alignment horizontal="center" vertical="center" wrapText="1"/>
    </xf>
    <xf numFmtId="0" fontId="26" fillId="13" borderId="20" xfId="0" applyFont="1" applyFill="1" applyBorder="1" applyAlignment="1">
      <alignment horizontal="center" vertical="center"/>
    </xf>
    <xf numFmtId="164" fontId="26" fillId="13" borderId="20" xfId="0" applyNumberFormat="1" applyFont="1" applyFill="1" applyBorder="1" applyAlignment="1">
      <alignment horizontal="center" vertical="center"/>
    </xf>
    <xf numFmtId="3" fontId="0" fillId="0" borderId="17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3" fontId="0" fillId="0" borderId="18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165" fontId="0" fillId="0" borderId="0" xfId="0" applyNumberFormat="1"/>
    <xf numFmtId="0" fontId="3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2" fillId="3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2" fillId="7" borderId="5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9" fillId="4" borderId="9" xfId="0" applyNumberFormat="1" applyFont="1" applyFill="1" applyBorder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3" fontId="9" fillId="4" borderId="13" xfId="0" applyNumberFormat="1" applyFont="1" applyFill="1" applyBorder="1" applyAlignment="1">
      <alignment horizontal="center" vertical="center"/>
    </xf>
    <xf numFmtId="0" fontId="28" fillId="4" borderId="9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3" xfId="0" applyFill="1" applyBorder="1" applyAlignment="1">
      <alignment horizontal="center"/>
    </xf>
    <xf numFmtId="0" fontId="10" fillId="4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0" fillId="2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3" fontId="9" fillId="4" borderId="2" xfId="0" applyNumberFormat="1" applyFont="1" applyFill="1" applyBorder="1" applyAlignment="1">
      <alignment horizontal="center" vertical="center"/>
    </xf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2">
    <dxf>
      <fill>
        <patternFill>
          <bgColor theme="6" tint="0.59996337778862885"/>
        </patternFill>
      </fill>
    </dxf>
    <dxf>
      <fill>
        <patternFill>
          <bgColor theme="4" tint="0.7997985778374584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3B3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5286"/>
      <rgbColor rgb="FF800080"/>
      <rgbColor rgb="FF3E8EA4"/>
      <rgbColor rgb="FFCCCCCC"/>
      <rgbColor rgb="FF717D7E"/>
      <rgbColor rgb="FFAABAD7"/>
      <rgbColor rgb="FF9F423F"/>
      <rgbColor rgb="FFF2F3F4"/>
      <rgbColor rgb="FFDCE6F2"/>
      <rgbColor rgb="FF660066"/>
      <rgbColor rgb="FFCC7C3A"/>
      <rgbColor rgb="FF2471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5D6AC"/>
      <rgbColor rgb="FFDDDDDD"/>
      <rgbColor rgb="FFF9E79F"/>
      <rgbColor rgb="FFA9CEDC"/>
      <rgbColor rgb="FFD8AAA9"/>
      <rgbColor rgb="FFB9AFC9"/>
      <rgbColor rgb="FFF9C3A8"/>
      <rgbColor rgb="FF416A9C"/>
      <rgbColor rgb="FF4BACC6"/>
      <rgbColor rgb="FF9BBB59"/>
      <rgbColor rgb="FFD4AC0D"/>
      <rgbColor rgb="FFF79646"/>
      <rgbColor rgb="FFE67E22"/>
      <rgbColor rgb="FF8064A2"/>
      <rgbColor rgb="FF809B49"/>
      <rgbColor rgb="FF1E3A5F"/>
      <rgbColor rgb="FF1E8449"/>
      <rgbColor rgb="FF003300"/>
      <rgbColor rgb="FF333300"/>
      <rgbColor rgb="FFC0392B"/>
      <rgbColor rgb="FFC0504D"/>
      <rgbColor rgb="FF305496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Build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824208884266825E-2"/>
          <c:y val="0.14763820969747202"/>
          <c:w val="0.94667694250482837"/>
          <c:h val="0.84791007045171995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FC5-4A87-B221-DB9CC5D1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0FC5-4A87-B221-DB9CC5D1B1F7}"/>
              </c:ext>
            </c:extLst>
          </c:dPt>
          <c:dLbls>
            <c:dLbl>
              <c:idx val="0"/>
              <c:layout>
                <c:manualLayout>
                  <c:x val="-0.17076253081502332"/>
                  <c:y val="1.2071828339071021E-2"/>
                </c:manualLayout>
              </c:layout>
              <c:tx>
                <c:rich>
                  <a:bodyPr/>
                  <a:lstStyle/>
                  <a:p>
                    <a:fld id="{9B36D157-9ED3-4789-8DF3-504944F21239}" type="CATEGORYNAME">
                      <a:rPr lang="en-US"/>
                      <a:pPr/>
                      <a:t>[CATEGORY NAME]</a:t>
                    </a:fld>
                    <a:endParaRPr lang="en-US" baseline="0"/>
                  </a:p>
                  <a:p>
                    <a:r>
                      <a:rPr lang="en-US" baseline="0"/>
                      <a:t> </a:t>
                    </a:r>
                    <a:fld id="{1D00D196-706F-44A8-893A-49022085559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A75C232F-BF27-489E-A086-43903C81440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59968801069673"/>
                      <c:h val="0.1757948611686697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FC5-4A87-B221-DB9CC5D1B1F7}"/>
                </c:ext>
              </c:extLst>
            </c:dLbl>
            <c:dLbl>
              <c:idx val="1"/>
              <c:layout>
                <c:manualLayout>
                  <c:x val="0.14230203535878769"/>
                  <c:y val="-6.0652300041442189E-2"/>
                </c:manualLayout>
              </c:layout>
              <c:tx>
                <c:rich>
                  <a:bodyPr/>
                  <a:lstStyle/>
                  <a:p>
                    <a:fld id="{C70DFDB0-C13C-4579-A5FE-83F39FA800A2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r>
                      <a:rPr lang="en-US" baseline="0"/>
                      <a:t> </a:t>
                    </a:r>
                    <a:fld id="{6240DFD7-06D0-4758-8008-76DFB976AEDD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154EE460-C8A2-4B2E-97E2-E7637D21210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662234437676423"/>
                      <c:h val="0.20737380853709078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FC5-4A87-B221-DB9CC5D1B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Dashboard!$F$58:$F$59</c:f>
              <c:strCache>
                <c:ptCount val="2"/>
                <c:pt idx="0">
                  <c:v>Built</c:v>
                </c:pt>
                <c:pt idx="1">
                  <c:v>UnBuilt</c:v>
                </c:pt>
              </c:strCache>
            </c:strRef>
          </c:cat>
          <c:val>
            <c:numRef>
              <c:f>Dashboard!$G$58:$G$59</c:f>
              <c:numCache>
                <c:formatCode>General</c:formatCode>
                <c:ptCount val="2"/>
                <c:pt idx="0">
                  <c:v>69</c:v>
                </c:pt>
                <c:pt idx="1">
                  <c:v>86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v>Sets</c:v>
                </c15:tx>
              </c15:filteredSeriesTitle>
            </c:ext>
            <c:ext xmlns:c16="http://schemas.microsoft.com/office/drawing/2014/chart" uri="{C3380CC4-5D6E-409C-BE32-E72D297353CC}">
              <c16:uniqueId val="{00000004-0FC5-4A87-B221-DB9CC5D1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Retirement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8439070116235468E-2"/>
          <c:y val="0.13908996683250416"/>
          <c:w val="0.98156092988376453"/>
          <c:h val="0.86091003316749581"/>
        </c:manualLayout>
      </c:layout>
      <c:pie3DChart>
        <c:varyColors val="1"/>
        <c:ser>
          <c:idx val="0"/>
          <c:order val="0"/>
          <c:tx>
            <c:v>Sets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6AA4-48F3-AA4E-C18B642195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6AA4-48F3-AA4E-C18B6421954C}"/>
              </c:ext>
            </c:extLst>
          </c:dPt>
          <c:dLbls>
            <c:dLbl>
              <c:idx val="0"/>
              <c:layout>
                <c:manualLayout>
                  <c:x val="-0.11386426696662917"/>
                  <c:y val="-0.1036840796019901"/>
                </c:manualLayout>
              </c:layout>
              <c:tx>
                <c:rich>
                  <a:bodyPr/>
                  <a:lstStyle/>
                  <a:p>
                    <a:fld id="{2F60F040-2D4D-4BDF-B32E-E7AB21711421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>
                      <a:solidFill>
                        <a:sysClr val="windowText" lastClr="000000"/>
                      </a:solidFill>
                    </a:endParaRPr>
                  </a:p>
                  <a:p>
                    <a:fld id="{BED4D320-0030-475F-995E-B6AA724BA179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; </a:t>
                    </a:r>
                    <a:fld id="{B53F1811-1A0E-4B04-89BA-7B8AF82D857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129246344206972"/>
                      <c:h val="0.28388308457711448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AA4-48F3-AA4E-C18B6421954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A554234-D5F3-43DF-B908-C84F888A5427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fld id="{E36D168D-0ACE-46D2-9994-B17F41EBDB4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5FCE5F22-5724-40C8-83B4-D9F1E376332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177727784026997"/>
                      <c:h val="0.18636028192371476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AA4-48F3-AA4E-C18B642195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Dashboard!$H$58:$H$59</c:f>
              <c:strCache>
                <c:ptCount val="2"/>
                <c:pt idx="0">
                  <c:v>Not Retired</c:v>
                </c:pt>
                <c:pt idx="1">
                  <c:v>Retired</c:v>
                </c:pt>
              </c:strCache>
            </c:strRef>
          </c:cat>
          <c:val>
            <c:numRef>
              <c:f>Dashboard!$I$58:$I$59</c:f>
              <c:numCache>
                <c:formatCode>General</c:formatCode>
                <c:ptCount val="2"/>
                <c:pt idx="0">
                  <c:v>87</c:v>
                </c:pt>
                <c:pt idx="1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A4-48F3-AA4E-C18B64219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Bricks by Theme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6664838382805458"/>
          <c:y val="0.10214790414028728"/>
          <c:w val="0.66906469335961105"/>
          <c:h val="0.8813340517505295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846-4803-8511-B0E2FB4EA24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46-4803-8511-B0E2FB4EA24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846-4803-8511-B0E2FB4EA24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846-4803-8511-B0E2FB4EA247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46-4803-8511-B0E2FB4EA247}"/>
              </c:ext>
            </c:extLst>
          </c:dPt>
          <c:dPt>
            <c:idx val="5"/>
            <c:bubble3D val="0"/>
            <c:spPr>
              <a:gradFill>
                <a:gsLst>
                  <a:gs pos="0">
                    <a:schemeClr val="accent6">
                      <a:shade val="51000"/>
                    </a:schemeClr>
                  </a:gs>
                  <a:gs pos="80000">
                    <a:schemeClr val="accent6">
                      <a:shade val="93000"/>
                    </a:schemeClr>
                  </a:gs>
                  <a:gs pos="100000">
                    <a:schemeClr val="accent6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846-4803-8511-B0E2FB4EA247}"/>
              </c:ext>
            </c:extLst>
          </c:dPt>
          <c:dPt>
            <c:idx val="6"/>
            <c:bubble3D val="0"/>
            <c:spPr>
              <a:gradFill>
                <a:gsLst>
                  <a:gs pos="0">
                    <a:schemeClr val="accent1">
                      <a:lumMod val="60000"/>
                      <a:shade val="51000"/>
                    </a:schemeClr>
                  </a:gs>
                  <a:gs pos="80000">
                    <a:schemeClr val="accent1">
                      <a:lumMod val="60000"/>
                      <a:shade val="93000"/>
                    </a:schemeClr>
                  </a:gs>
                  <a:gs pos="100000">
                    <a:schemeClr val="accent1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46-4803-8511-B0E2FB4EA247}"/>
              </c:ext>
            </c:extLst>
          </c:dPt>
          <c:dPt>
            <c:idx val="7"/>
            <c:bubble3D val="0"/>
            <c:spPr>
              <a:gradFill>
                <a:gsLst>
                  <a:gs pos="0">
                    <a:schemeClr val="accent2">
                      <a:lumMod val="60000"/>
                      <a:shade val="51000"/>
                    </a:schemeClr>
                  </a:gs>
                  <a:gs pos="80000">
                    <a:schemeClr val="accent2">
                      <a:lumMod val="60000"/>
                      <a:shade val="93000"/>
                    </a:schemeClr>
                  </a:gs>
                  <a:gs pos="100000">
                    <a:schemeClr val="accent2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46-4803-8511-B0E2FB4EA247}"/>
              </c:ext>
            </c:extLst>
          </c:dPt>
          <c:dPt>
            <c:idx val="8"/>
            <c:bubble3D val="0"/>
            <c:spPr>
              <a:gradFill>
                <a:gsLst>
                  <a:gs pos="0">
                    <a:schemeClr val="accent3">
                      <a:lumMod val="60000"/>
                      <a:shade val="51000"/>
                    </a:schemeClr>
                  </a:gs>
                  <a:gs pos="80000">
                    <a:schemeClr val="accent3">
                      <a:lumMod val="60000"/>
                      <a:shade val="93000"/>
                    </a:schemeClr>
                  </a:gs>
                  <a:gs pos="100000">
                    <a:schemeClr val="accent3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46-4803-8511-B0E2FB4EA247}"/>
              </c:ext>
            </c:extLst>
          </c:dPt>
          <c:dPt>
            <c:idx val="9"/>
            <c:bubble3D val="0"/>
            <c:spPr>
              <a:gradFill>
                <a:gsLst>
                  <a:gs pos="0">
                    <a:schemeClr val="accent4">
                      <a:lumMod val="60000"/>
                      <a:shade val="51000"/>
                    </a:schemeClr>
                  </a:gs>
                  <a:gs pos="80000">
                    <a:schemeClr val="accent4">
                      <a:lumMod val="60000"/>
                      <a:shade val="93000"/>
                    </a:schemeClr>
                  </a:gs>
                  <a:gs pos="100000">
                    <a:schemeClr val="accent4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846-4803-8511-B0E2FB4EA247}"/>
              </c:ext>
            </c:extLst>
          </c:dPt>
          <c:dPt>
            <c:idx val="10"/>
            <c:bubble3D val="0"/>
            <c:spPr>
              <a:gradFill>
                <a:gsLst>
                  <a:gs pos="0">
                    <a:schemeClr val="accent5">
                      <a:lumMod val="60000"/>
                      <a:shade val="51000"/>
                    </a:schemeClr>
                  </a:gs>
                  <a:gs pos="80000">
                    <a:schemeClr val="accent5">
                      <a:lumMod val="60000"/>
                      <a:shade val="93000"/>
                    </a:schemeClr>
                  </a:gs>
                  <a:gs pos="100000">
                    <a:schemeClr val="accent5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46-4803-8511-B0E2FB4EA247}"/>
              </c:ext>
            </c:extLst>
          </c:dPt>
          <c:dPt>
            <c:idx val="11"/>
            <c:bubble3D val="0"/>
            <c:spPr>
              <a:gradFill>
                <a:gsLst>
                  <a:gs pos="0">
                    <a:schemeClr val="accent6">
                      <a:lumMod val="60000"/>
                      <a:shade val="51000"/>
                    </a:schemeClr>
                  </a:gs>
                  <a:gs pos="80000">
                    <a:schemeClr val="accent6">
                      <a:lumMod val="60000"/>
                      <a:shade val="93000"/>
                    </a:schemeClr>
                  </a:gs>
                  <a:gs pos="100000">
                    <a:schemeClr val="accent6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46-4803-8511-B0E2FB4EA247}"/>
              </c:ext>
            </c:extLst>
          </c:dPt>
          <c:dPt>
            <c:idx val="12"/>
            <c:bubble3D val="0"/>
            <c:spPr>
              <a:gradFill>
                <a:gsLst>
                  <a:gs pos="0">
                    <a:schemeClr val="accent1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0846-4803-8511-B0E2FB4EA247}"/>
              </c:ext>
            </c:extLst>
          </c:dPt>
          <c:dPt>
            <c:idx val="13"/>
            <c:bubble3D val="0"/>
            <c:spPr>
              <a:gradFill>
                <a:gsLst>
                  <a:gs pos="0">
                    <a:schemeClr val="accent2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0846-4803-8511-B0E2FB4EA247}"/>
              </c:ext>
            </c:extLst>
          </c:dPt>
          <c:dPt>
            <c:idx val="14"/>
            <c:bubble3D val="0"/>
            <c:spPr>
              <a:gradFill>
                <a:gsLst>
                  <a:gs pos="0">
                    <a:schemeClr val="accent3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0846-4803-8511-B0E2FB4EA247}"/>
              </c:ext>
            </c:extLst>
          </c:dPt>
          <c:dPt>
            <c:idx val="15"/>
            <c:bubble3D val="0"/>
            <c:spPr>
              <a:gradFill>
                <a:gsLst>
                  <a:gs pos="0">
                    <a:schemeClr val="accent4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0846-4803-8511-B0E2FB4EA247}"/>
              </c:ext>
            </c:extLst>
          </c:dPt>
          <c:dPt>
            <c:idx val="16"/>
            <c:bubble3D val="0"/>
            <c:spPr>
              <a:gradFill>
                <a:gsLst>
                  <a:gs pos="0">
                    <a:schemeClr val="accent5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0846-4803-8511-B0E2FB4EA247}"/>
              </c:ext>
            </c:extLst>
          </c:dPt>
          <c:dPt>
            <c:idx val="17"/>
            <c:bubble3D val="0"/>
            <c:spPr>
              <a:gradFill>
                <a:gsLst>
                  <a:gs pos="0">
                    <a:schemeClr val="accent6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0846-4803-8511-B0E2FB4EA247}"/>
              </c:ext>
            </c:extLst>
          </c:dPt>
          <c:dPt>
            <c:idx val="18"/>
            <c:bubble3D val="0"/>
            <c:spPr>
              <a:gradFill>
                <a:gsLst>
                  <a:gs pos="0">
                    <a:schemeClr val="accent1">
                      <a:lumMod val="80000"/>
                      <a:shade val="51000"/>
                    </a:schemeClr>
                  </a:gs>
                  <a:gs pos="80000">
                    <a:schemeClr val="accent1">
                      <a:lumMod val="80000"/>
                      <a:shade val="93000"/>
                    </a:schemeClr>
                  </a:gs>
                  <a:gs pos="100000">
                    <a:schemeClr val="accent1">
                      <a:lumMod val="8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C7AD-4049-8DB9-F92B7B70E087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46-4803-8511-B0E2FB4EA247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46-4803-8511-B0E2FB4EA247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46-4803-8511-B0E2FB4EA247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46-4803-8511-B0E2FB4EA247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46-4803-8511-B0E2FB4EA247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46-4803-8511-B0E2FB4EA247}"/>
                </c:ext>
              </c:extLst>
            </c:dLbl>
            <c:dLbl>
              <c:idx val="6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46-4803-8511-B0E2FB4EA247}"/>
                </c:ext>
              </c:extLst>
            </c:dLbl>
            <c:dLbl>
              <c:idx val="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46-4803-8511-B0E2FB4EA247}"/>
                </c:ext>
              </c:extLst>
            </c:dLbl>
            <c:dLbl>
              <c:idx val="8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846-4803-8511-B0E2FB4EA247}"/>
                </c:ext>
              </c:extLst>
            </c:dLbl>
            <c:dLbl>
              <c:idx val="9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846-4803-8511-B0E2FB4EA247}"/>
                </c:ext>
              </c:extLst>
            </c:dLbl>
            <c:dLbl>
              <c:idx val="1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846-4803-8511-B0E2FB4EA247}"/>
                </c:ext>
              </c:extLst>
            </c:dLbl>
            <c:dLbl>
              <c:idx val="1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846-4803-8511-B0E2FB4EA247}"/>
                </c:ext>
              </c:extLst>
            </c:dLbl>
            <c:dLbl>
              <c:idx val="1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846-4803-8511-B0E2FB4EA247}"/>
                </c:ext>
              </c:extLst>
            </c:dLbl>
            <c:dLbl>
              <c:idx val="1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846-4803-8511-B0E2FB4EA247}"/>
                </c:ext>
              </c:extLst>
            </c:dLbl>
            <c:dLbl>
              <c:idx val="14"/>
              <c:layout>
                <c:manualLayout>
                  <c:x val="8.6776236303795357E-2"/>
                  <c:y val="1.248241591610793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846-4803-8511-B0E2FB4EA247}"/>
                </c:ext>
              </c:extLst>
            </c:dLbl>
            <c:dLbl>
              <c:idx val="1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846-4803-8511-B0E2FB4EA247}"/>
                </c:ext>
              </c:extLst>
            </c:dLbl>
            <c:dLbl>
              <c:idx val="16"/>
              <c:layout>
                <c:manualLayout>
                  <c:x val="0.18940819897512812"/>
                  <c:y val="2.771324698101832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846-4803-8511-B0E2FB4EA247}"/>
                </c:ext>
              </c:extLst>
            </c:dLbl>
            <c:dLbl>
              <c:idx val="1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846-4803-8511-B0E2FB4EA2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Dashboard!$B$20:$B$38</c:f>
              <c:strCache>
                <c:ptCount val="19"/>
                <c:pt idx="0">
                  <c:v>Architecture</c:v>
                </c:pt>
                <c:pt idx="1">
                  <c:v>Botanical Collection</c:v>
                </c:pt>
                <c:pt idx="2">
                  <c:v>Creator</c:v>
                </c:pt>
                <c:pt idx="3">
                  <c:v>Creator Expert</c:v>
                </c:pt>
                <c:pt idx="4">
                  <c:v>DC</c:v>
                </c:pt>
                <c:pt idx="5">
                  <c:v>Disney</c:v>
                </c:pt>
                <c:pt idx="6">
                  <c:v>Editions</c:v>
                </c:pt>
                <c:pt idx="7">
                  <c:v>Harry Potter</c:v>
                </c:pt>
                <c:pt idx="8">
                  <c:v>Icons</c:v>
                </c:pt>
                <c:pt idx="9">
                  <c:v>Ideas</c:v>
                </c:pt>
                <c:pt idx="10">
                  <c:v>Jurassic World</c:v>
                </c:pt>
                <c:pt idx="11">
                  <c:v>Marvel</c:v>
                </c:pt>
                <c:pt idx="12">
                  <c:v>Other</c:v>
                </c:pt>
                <c:pt idx="13">
                  <c:v>Pokemon</c:v>
                </c:pt>
                <c:pt idx="14">
                  <c:v>Shrek</c:v>
                </c:pt>
                <c:pt idx="15">
                  <c:v>Speed Champions</c:v>
                </c:pt>
                <c:pt idx="16">
                  <c:v>Star Wars</c:v>
                </c:pt>
                <c:pt idx="17">
                  <c:v>Super Mario</c:v>
                </c:pt>
                <c:pt idx="18">
                  <c:v>Technic</c:v>
                </c:pt>
              </c:strCache>
            </c:strRef>
          </c:cat>
          <c:val>
            <c:numRef>
              <c:f>Dashboard!$H$20:$H$38</c:f>
              <c:numCache>
                <c:formatCode>#,##0</c:formatCode>
                <c:ptCount val="19"/>
                <c:pt idx="0">
                  <c:v>22286</c:v>
                </c:pt>
                <c:pt idx="1">
                  <c:v>878</c:v>
                </c:pt>
                <c:pt idx="2">
                  <c:v>336</c:v>
                </c:pt>
                <c:pt idx="3">
                  <c:v>11439</c:v>
                </c:pt>
                <c:pt idx="4">
                  <c:v>422</c:v>
                </c:pt>
                <c:pt idx="5">
                  <c:v>811</c:v>
                </c:pt>
                <c:pt idx="6">
                  <c:v>7994</c:v>
                </c:pt>
                <c:pt idx="7">
                  <c:v>1161</c:v>
                </c:pt>
                <c:pt idx="8">
                  <c:v>44061</c:v>
                </c:pt>
                <c:pt idx="9">
                  <c:v>12102</c:v>
                </c:pt>
                <c:pt idx="10">
                  <c:v>4299</c:v>
                </c:pt>
                <c:pt idx="11">
                  <c:v>6348</c:v>
                </c:pt>
                <c:pt idx="12">
                  <c:v>8700</c:v>
                </c:pt>
                <c:pt idx="13">
                  <c:v>2637</c:v>
                </c:pt>
                <c:pt idx="14">
                  <c:v>1403</c:v>
                </c:pt>
                <c:pt idx="15">
                  <c:v>3116</c:v>
                </c:pt>
                <c:pt idx="16">
                  <c:v>50958</c:v>
                </c:pt>
                <c:pt idx="17">
                  <c:v>10854</c:v>
                </c:pt>
                <c:pt idx="18">
                  <c:v>4552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0846-4803-8511-B0E2FB4E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25400</xdr:colOff>
      <xdr:row>40</xdr:row>
      <xdr:rowOff>6350</xdr:rowOff>
    </xdr:from>
    <xdr:to>
      <xdr:col>9</xdr:col>
      <xdr:colOff>222250</xdr:colOff>
      <xdr:row>52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222250</xdr:colOff>
      <xdr:row>40</xdr:row>
      <xdr:rowOff>0</xdr:rowOff>
    </xdr:from>
    <xdr:to>
      <xdr:col>15</xdr:col>
      <xdr:colOff>12700</xdr:colOff>
      <xdr:row>52</xdr:row>
      <xdr:rowOff>62500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19050</xdr:colOff>
      <xdr:row>52</xdr:row>
      <xdr:rowOff>69850</xdr:rowOff>
    </xdr:from>
    <xdr:to>
      <xdr:col>15</xdr:col>
      <xdr:colOff>25400</xdr:colOff>
      <xdr:row>70</xdr:row>
      <xdr:rowOff>82550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26182ED-F6B8-C262-5652-A411CC670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A3B30"/>
  </sheetPr>
  <dimension ref="B1:R64"/>
  <sheetViews>
    <sheetView showGridLines="0" tabSelected="1" zoomScaleNormal="100" workbookViewId="0">
      <selection activeCell="V23" sqref="V23"/>
    </sheetView>
  </sheetViews>
  <sheetFormatPr defaultColWidth="8.6328125" defaultRowHeight="14.5" x14ac:dyDescent="0.35"/>
  <cols>
    <col min="1" max="1" width="2" customWidth="1"/>
    <col min="2" max="2" width="15.453125" customWidth="1"/>
    <col min="3" max="3" width="5.6328125" customWidth="1"/>
    <col min="4" max="4" width="8.6328125" customWidth="1"/>
    <col min="5" max="5" width="5.6328125" customWidth="1"/>
    <col min="6" max="6" width="9.1796875" customWidth="1"/>
    <col min="7" max="7" width="5.6328125" customWidth="1"/>
    <col min="8" max="8" width="8.6328125" customWidth="1"/>
    <col min="9" max="9" width="6.6328125" customWidth="1"/>
    <col min="10" max="10" width="8.54296875" customWidth="1"/>
    <col min="11" max="11" width="2" customWidth="1"/>
    <col min="12" max="12" width="6.7265625" customWidth="1"/>
    <col min="13" max="13" width="8.6328125" customWidth="1"/>
    <col min="14" max="14" width="6.6328125" customWidth="1"/>
    <col min="15" max="15" width="8.6328125" customWidth="1"/>
    <col min="16" max="16" width="2" customWidth="1"/>
  </cols>
  <sheetData>
    <row r="1" spans="2:18" ht="6" customHeight="1" x14ac:dyDescent="0.35"/>
    <row r="2" spans="2:18" ht="33.75" customHeight="1" x14ac:dyDescent="0.35">
      <c r="B2" s="94" t="s">
        <v>166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</row>
    <row r="3" spans="2:18" ht="6" customHeight="1" thickBot="1" x14ac:dyDescent="0.4"/>
    <row r="4" spans="2:18" ht="15" customHeight="1" x14ac:dyDescent="0.35">
      <c r="B4" s="96" t="s">
        <v>0</v>
      </c>
      <c r="C4" s="96"/>
      <c r="D4" s="96" t="s">
        <v>1</v>
      </c>
      <c r="E4" s="96"/>
      <c r="F4" s="97" t="s">
        <v>208</v>
      </c>
      <c r="G4" s="96"/>
      <c r="H4" s="96" t="s">
        <v>2</v>
      </c>
      <c r="I4" s="96"/>
      <c r="J4" s="98" t="s">
        <v>3</v>
      </c>
      <c r="K4" s="99"/>
      <c r="L4" s="100"/>
    </row>
    <row r="5" spans="2:18" ht="31" x14ac:dyDescent="0.35">
      <c r="B5" s="101">
        <f>COUNTA(Inventory!C2:C1000)</f>
        <v>155</v>
      </c>
      <c r="C5" s="101"/>
      <c r="D5" s="102">
        <f>COUNTIF(Inventory!H2:H1000,"YES")</f>
        <v>69</v>
      </c>
      <c r="E5" s="102"/>
      <c r="F5" s="103">
        <f>COUNTIF(Inventory!H2:H1000,"NO")</f>
        <v>86</v>
      </c>
      <c r="G5" s="103"/>
      <c r="H5" s="104">
        <f ca="1">COUNTIF(Inventory!I2:I1000,"Not Retired")</f>
        <v>87</v>
      </c>
      <c r="I5" s="104"/>
      <c r="J5" s="105">
        <f ca="1">COUNTIF(Inventory!I2:I1000,"Retired")</f>
        <v>68</v>
      </c>
      <c r="K5" s="106"/>
      <c r="L5" s="107"/>
    </row>
    <row r="6" spans="2:18" ht="17.5" customHeight="1" x14ac:dyDescent="0.35">
      <c r="B6" s="138">
        <f>SUMIF(Inventory!E2:E1000,"&lt;&gt;"&amp;"",Inventory!E2:E1000)</f>
        <v>194357</v>
      </c>
      <c r="C6" s="138"/>
      <c r="D6" s="138">
        <f>SUMIF(Inventory!H2:H1000,"YES",Inventory!E2:E1000)</f>
        <v>77416</v>
      </c>
      <c r="E6" s="138"/>
      <c r="F6" s="138">
        <f>SUMIF(Inventory!H2:H1000,"NO",Inventory!E2:E1000)</f>
        <v>116941</v>
      </c>
      <c r="G6" s="138"/>
      <c r="H6" s="138">
        <f ca="1">SUMIFS(Inventory!E2:E1000,Inventory!I2:I1000,"Not Retired")</f>
        <v>123714</v>
      </c>
      <c r="I6" s="138"/>
      <c r="J6" s="123">
        <f ca="1">SUMIFS(Inventory!E2:E1000,Inventory!I2:I1000,"Retired")</f>
        <v>70643</v>
      </c>
      <c r="K6" s="124"/>
      <c r="L6" s="125"/>
      <c r="Q6" s="51"/>
      <c r="R6" s="55"/>
    </row>
    <row r="7" spans="2:18" x14ac:dyDescent="0.35">
      <c r="B7" s="132" t="s">
        <v>4</v>
      </c>
      <c r="C7" s="132"/>
      <c r="D7" s="132" t="s">
        <v>5</v>
      </c>
      <c r="E7" s="132"/>
      <c r="F7" s="133" t="s">
        <v>164</v>
      </c>
      <c r="G7" s="132"/>
      <c r="H7" s="132" t="s">
        <v>6</v>
      </c>
      <c r="I7" s="132"/>
      <c r="J7" s="126" t="s">
        <v>165</v>
      </c>
      <c r="K7" s="127"/>
      <c r="L7" s="128"/>
    </row>
    <row r="8" spans="2:18" ht="6" customHeight="1" thickBot="1" x14ac:dyDescent="0.4">
      <c r="B8" s="134"/>
      <c r="C8" s="134"/>
      <c r="D8" s="135"/>
      <c r="E8" s="135"/>
      <c r="F8" s="136"/>
      <c r="G8" s="136"/>
      <c r="H8" s="137"/>
      <c r="I8" s="137"/>
      <c r="J8" s="129"/>
      <c r="K8" s="130"/>
      <c r="L8" s="131"/>
    </row>
    <row r="9" spans="2:18" ht="6" customHeight="1" x14ac:dyDescent="0.35"/>
    <row r="10" spans="2:18" ht="16" customHeight="1" x14ac:dyDescent="0.35">
      <c r="B10" s="122" t="s">
        <v>207</v>
      </c>
      <c r="C10" s="122"/>
      <c r="D10" s="122"/>
      <c r="E10" s="122"/>
      <c r="F10" s="122"/>
      <c r="G10" s="122"/>
      <c r="H10" s="122"/>
    </row>
    <row r="11" spans="2:18" ht="16" customHeight="1" x14ac:dyDescent="0.35">
      <c r="B11" s="1"/>
      <c r="C11" s="109" t="s">
        <v>12</v>
      </c>
      <c r="D11" s="110"/>
      <c r="E11" s="111" t="s">
        <v>13</v>
      </c>
      <c r="F11" s="112"/>
      <c r="G11" s="120" t="s">
        <v>10</v>
      </c>
      <c r="H11" s="121"/>
    </row>
    <row r="12" spans="2:18" ht="16" customHeight="1" x14ac:dyDescent="0.35">
      <c r="B12" s="1"/>
      <c r="C12" s="6" t="s">
        <v>14</v>
      </c>
      <c r="D12" s="6" t="s">
        <v>15</v>
      </c>
      <c r="E12" s="7" t="s">
        <v>14</v>
      </c>
      <c r="F12" s="7" t="s">
        <v>15</v>
      </c>
      <c r="G12" s="73" t="s">
        <v>14</v>
      </c>
      <c r="H12" s="1" t="s">
        <v>15</v>
      </c>
    </row>
    <row r="13" spans="2:18" ht="16" customHeight="1" x14ac:dyDescent="0.35">
      <c r="B13" s="70" t="s">
        <v>8</v>
      </c>
      <c r="C13" s="28">
        <f ca="1">COUNTIFS(Inventory!H2:H1000,"YES",Inventory!I2:I1000,"Not Retired")</f>
        <v>30</v>
      </c>
      <c r="D13" s="43">
        <f ca="1">SUMIFS(Inventory!E2:E1000,Inventory!H2:H1000,"YES",Inventory!I2:I1000,"Not Retired")</f>
        <v>36764</v>
      </c>
      <c r="E13" s="30">
        <f ca="1">COUNTIFS(Inventory!H2:H1000,"YES",Inventory!I2:I1000,"Retired")</f>
        <v>39</v>
      </c>
      <c r="F13" s="46">
        <f ca="1">SUMIFS(Inventory!E2:E1000,Inventory!H2:H1000,"YES",Inventory!I2:I1000,"Retired")</f>
        <v>40652</v>
      </c>
      <c r="G13" s="74">
        <f ca="1">C13+E13</f>
        <v>69</v>
      </c>
      <c r="H13" s="47">
        <f ca="1">D13+F13</f>
        <v>77416</v>
      </c>
    </row>
    <row r="14" spans="2:18" ht="16" customHeight="1" x14ac:dyDescent="0.35">
      <c r="B14" s="71" t="s">
        <v>209</v>
      </c>
      <c r="C14" s="16">
        <f ca="1">COUNTIFS(Inventory!H2:H1000,"NO",Inventory!I2:I1000,"Not Retired")</f>
        <v>57</v>
      </c>
      <c r="D14" s="48">
        <f ca="1">SUMIFS(Inventory!E2:E1000,Inventory!H2:H1000,"NO",Inventory!I2:I1000,"Not Retired")</f>
        <v>86950</v>
      </c>
      <c r="E14" s="18">
        <f ca="1">COUNTIFS(Inventory!H2:H1000,"NO",Inventory!I2:I1000,"Retired")</f>
        <v>29</v>
      </c>
      <c r="F14" s="49">
        <f ca="1">SUMIFS(Inventory!E2:E1000,Inventory!H2:H1000,"NO",Inventory!I2:I1000,"Retired")</f>
        <v>29991</v>
      </c>
      <c r="G14" s="75">
        <f ca="1">C14+E14</f>
        <v>86</v>
      </c>
      <c r="H14" s="50">
        <f ca="1">D14+F14</f>
        <v>116941</v>
      </c>
    </row>
    <row r="15" spans="2:18" ht="16" customHeight="1" x14ac:dyDescent="0.35">
      <c r="B15" s="32" t="s">
        <v>10</v>
      </c>
      <c r="C15" s="1">
        <f t="shared" ref="C15:F15" ca="1" si="0">C13+C14</f>
        <v>87</v>
      </c>
      <c r="D15" s="33">
        <f t="shared" ca="1" si="0"/>
        <v>123714</v>
      </c>
      <c r="E15" s="1">
        <f t="shared" ca="1" si="0"/>
        <v>68</v>
      </c>
      <c r="F15" s="33">
        <f t="shared" ca="1" si="0"/>
        <v>70643</v>
      </c>
      <c r="G15" s="76">
        <f ca="1">G13+G14</f>
        <v>155</v>
      </c>
      <c r="H15" s="33">
        <f ca="1">H13+H14</f>
        <v>194357</v>
      </c>
    </row>
    <row r="16" spans="2:18" ht="6" customHeight="1" x14ac:dyDescent="0.35"/>
    <row r="17" spans="2:15" ht="19.5" customHeight="1" x14ac:dyDescent="0.35">
      <c r="B17" s="114" t="s">
        <v>7</v>
      </c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4"/>
      <c r="N17" s="114"/>
      <c r="O17" s="114"/>
    </row>
    <row r="18" spans="2:15" ht="15.75" customHeight="1" x14ac:dyDescent="0.35">
      <c r="B18" s="115"/>
      <c r="C18" s="116" t="s">
        <v>8</v>
      </c>
      <c r="D18" s="116"/>
      <c r="E18" s="117" t="s">
        <v>9</v>
      </c>
      <c r="F18" s="117"/>
      <c r="G18" s="118" t="s">
        <v>10</v>
      </c>
      <c r="H18" s="118"/>
      <c r="I18" s="119" t="s">
        <v>11</v>
      </c>
      <c r="J18" s="119"/>
      <c r="K18" s="2"/>
      <c r="L18" s="109" t="s">
        <v>12</v>
      </c>
      <c r="M18" s="109"/>
      <c r="N18" s="111" t="s">
        <v>13</v>
      </c>
      <c r="O18" s="111"/>
    </row>
    <row r="19" spans="2:15" ht="15.75" customHeight="1" x14ac:dyDescent="0.35">
      <c r="B19" s="115"/>
      <c r="C19" s="3" t="s">
        <v>14</v>
      </c>
      <c r="D19" s="3" t="s">
        <v>15</v>
      </c>
      <c r="E19" s="4" t="s">
        <v>14</v>
      </c>
      <c r="F19" s="4" t="s">
        <v>15</v>
      </c>
      <c r="G19" s="1" t="s">
        <v>14</v>
      </c>
      <c r="H19" s="1" t="s">
        <v>15</v>
      </c>
      <c r="I19" s="5" t="s">
        <v>16</v>
      </c>
      <c r="J19" s="5" t="s">
        <v>17</v>
      </c>
      <c r="K19" s="2"/>
      <c r="L19" s="6" t="s">
        <v>14</v>
      </c>
      <c r="M19" s="6" t="s">
        <v>15</v>
      </c>
      <c r="N19" s="7" t="s">
        <v>14</v>
      </c>
      <c r="O19" s="7" t="s">
        <v>15</v>
      </c>
    </row>
    <row r="20" spans="2:15" ht="15" customHeight="1" x14ac:dyDescent="0.35">
      <c r="B20" s="20" t="s">
        <v>19</v>
      </c>
      <c r="C20" s="9">
        <f>COUNTIFS(Inventory!$D$2:$D$1000,B20,Inventory!$H$2:$H$1000,"YES")</f>
        <v>14</v>
      </c>
      <c r="D20" s="10">
        <f>SUMIFS(Inventory!$E$2:$E$1000,Inventory!$D$2:$D$1000,B20,Inventory!$H$2:$H$1000,"YES")</f>
        <v>7272</v>
      </c>
      <c r="E20" s="11">
        <f>COUNTIFS(Inventory!$D$2:$D$1000,B20,Inventory!$H$2:$H$1000,"NO")</f>
        <v>8</v>
      </c>
      <c r="F20" s="12">
        <f>SUMIFS(Inventory!$E$2:$E$1000,Inventory!$D$2:$D$1000,B20,Inventory!$H$2:$H$1000,"NO")</f>
        <v>15014</v>
      </c>
      <c r="G20" s="13">
        <f t="shared" ref="G20" si="1">C20+E20</f>
        <v>22</v>
      </c>
      <c r="H20" s="14">
        <f t="shared" ref="H20" si="2">D20+F20</f>
        <v>22286</v>
      </c>
      <c r="I20" s="15">
        <f t="shared" ref="I20:I39" si="3">IF(G20=0,"",C20/G20)</f>
        <v>0.63636363636363635</v>
      </c>
      <c r="J20" s="15">
        <f t="shared" ref="J20:J39" si="4">IF(H20=0,"",D20/H20)</f>
        <v>0.32630350892937271</v>
      </c>
      <c r="K20" s="2"/>
      <c r="L20" s="16">
        <f ca="1">COUNTIFS(Inventory!$D$2:$D$1000,B20,Inventory!$I$2:$I$1000,"Not Retired")</f>
        <v>7</v>
      </c>
      <c r="M20" s="17">
        <f ca="1">SUMIFS(Inventory!$E$2:$E$1000,Inventory!$D$2:$D$1000,B20,Inventory!$I$2:$I$1000,"Not Retired")</f>
        <v>15472</v>
      </c>
      <c r="N20" s="18">
        <f ca="1">COUNTIFS(Inventory!$D$2:$D$1000,B20,Inventory!$I$2:$I$1000,"Retired")</f>
        <v>15</v>
      </c>
      <c r="O20" s="19">
        <f ca="1">SUMIFS(Inventory!$E$2:$E$1000,Inventory!$D$2:$D$1000,B20,Inventory!$I$2:$I$1000,"Retired")</f>
        <v>6814</v>
      </c>
    </row>
    <row r="21" spans="2:15" ht="15" customHeight="1" x14ac:dyDescent="0.35">
      <c r="B21" s="8" t="s">
        <v>32</v>
      </c>
      <c r="C21" s="21">
        <f>COUNTIFS(Inventory!$D$2:$D$1000,B21,Inventory!$H$2:$H$1000,"YES")</f>
        <v>1</v>
      </c>
      <c r="D21" s="22">
        <f>SUMIFS(Inventory!$E$2:$E$1000,Inventory!$D$2:$D$1000,B21,Inventory!$H$2:$H$1000,"YES")</f>
        <v>878</v>
      </c>
      <c r="E21" s="23">
        <f>COUNTIFS(Inventory!$D$2:$D$1000,B21,Inventory!$H$2:$H$1000,"NO")</f>
        <v>0</v>
      </c>
      <c r="F21" s="24">
        <f>SUMIFS(Inventory!$E$2:$E$1000,Inventory!$D$2:$D$1000,B21,Inventory!$H$2:$H$1000,"NO")</f>
        <v>0</v>
      </c>
      <c r="G21" s="25">
        <f t="shared" ref="G21:G37" si="5">C21+E21</f>
        <v>1</v>
      </c>
      <c r="H21" s="26">
        <f t="shared" ref="H21:H37" si="6">D21+F21</f>
        <v>878</v>
      </c>
      <c r="I21" s="27">
        <f t="shared" ref="I21:I37" si="7">IF(G21=0,"",C21/G21)</f>
        <v>1</v>
      </c>
      <c r="J21" s="27">
        <f t="shared" ref="J21:J37" si="8">IF(H21=0,"",D21/H21)</f>
        <v>1</v>
      </c>
      <c r="K21" s="2"/>
      <c r="L21" s="28">
        <f ca="1">COUNTIFS(Inventory!$D$2:$D$1000,B21,Inventory!$I$2:$I$1000,"Not Retired")</f>
        <v>1</v>
      </c>
      <c r="M21" s="29">
        <f ca="1">SUMIFS(Inventory!$E$2:$E$1000,Inventory!$D$2:$D$1000,B21,Inventory!$I$2:$I$1000,"Not Retired")</f>
        <v>878</v>
      </c>
      <c r="N21" s="30">
        <f ca="1">COUNTIFS(Inventory!$D$2:$D$1000,B21,Inventory!$I$2:$I$1000,"Retired")</f>
        <v>0</v>
      </c>
      <c r="O21" s="31">
        <f ca="1">SUMIFS(Inventory!$E$2:$E$1000,Inventory!$D$2:$D$1000,B21,Inventory!$I$2:$I$1000,"Retired")</f>
        <v>0</v>
      </c>
    </row>
    <row r="22" spans="2:15" ht="15" customHeight="1" x14ac:dyDescent="0.35">
      <c r="B22" s="8" t="s">
        <v>34</v>
      </c>
      <c r="C22" s="9">
        <f>COUNTIFS(Inventory!$D$2:$D$1000,B22,Inventory!$H$2:$H$1000,"YES")</f>
        <v>0</v>
      </c>
      <c r="D22" s="10">
        <f>SUMIFS(Inventory!$E$2:$E$1000,Inventory!$D$2:$D$1000,B22,Inventory!$H$2:$H$1000,"YES")</f>
        <v>0</v>
      </c>
      <c r="E22" s="11">
        <f>COUNTIFS(Inventory!$D$2:$D$1000,B22,Inventory!$H$2:$H$1000,"NO")</f>
        <v>1</v>
      </c>
      <c r="F22" s="12">
        <f>SUMIFS(Inventory!$E$2:$E$1000,Inventory!$D$2:$D$1000,B22,Inventory!$H$2:$H$1000,"NO")</f>
        <v>336</v>
      </c>
      <c r="G22" s="13">
        <f t="shared" si="5"/>
        <v>1</v>
      </c>
      <c r="H22" s="14">
        <f t="shared" si="6"/>
        <v>336</v>
      </c>
      <c r="I22" s="15">
        <f t="shared" si="7"/>
        <v>0</v>
      </c>
      <c r="J22" s="15">
        <f t="shared" si="8"/>
        <v>0</v>
      </c>
      <c r="K22" s="2"/>
      <c r="L22" s="16">
        <f ca="1">COUNTIFS(Inventory!$D$2:$D$1000,B22,Inventory!$I$2:$I$1000,"Not Retired")</f>
        <v>1</v>
      </c>
      <c r="M22" s="17">
        <f ca="1">SUMIFS(Inventory!$E$2:$E$1000,Inventory!$D$2:$D$1000,B22,Inventory!$I$2:$I$1000,"Not Retired")</f>
        <v>336</v>
      </c>
      <c r="N22" s="18">
        <f ca="1">COUNTIFS(Inventory!$D$2:$D$1000,B22,Inventory!$I$2:$I$1000,"Retired")</f>
        <v>0</v>
      </c>
      <c r="O22" s="19">
        <f ca="1">SUMIFS(Inventory!$E$2:$E$1000,Inventory!$D$2:$D$1000,B22,Inventory!$I$2:$I$1000,"Retired")</f>
        <v>0</v>
      </c>
    </row>
    <row r="23" spans="2:15" ht="15" customHeight="1" x14ac:dyDescent="0.35">
      <c r="B23" s="20" t="s">
        <v>25</v>
      </c>
      <c r="C23" s="21">
        <f>COUNTIFS(Inventory!$D$2:$D$1000,B23,Inventory!$H$2:$H$1000,"YES")</f>
        <v>3</v>
      </c>
      <c r="D23" s="22">
        <f>SUMIFS(Inventory!$E$2:$E$1000,Inventory!$D$2:$D$1000,B23,Inventory!$H$2:$H$1000,"YES")</f>
        <v>11439</v>
      </c>
      <c r="E23" s="23">
        <f>COUNTIFS(Inventory!$D$2:$D$1000,B23,Inventory!$H$2:$H$1000,"NO")</f>
        <v>0</v>
      </c>
      <c r="F23" s="24">
        <f>SUMIFS(Inventory!$E$2:$E$1000,Inventory!$D$2:$D$1000,B23,Inventory!$H$2:$H$1000,"NO")</f>
        <v>0</v>
      </c>
      <c r="G23" s="25">
        <f t="shared" si="5"/>
        <v>3</v>
      </c>
      <c r="H23" s="26">
        <f t="shared" si="6"/>
        <v>11439</v>
      </c>
      <c r="I23" s="27">
        <f t="shared" si="7"/>
        <v>1</v>
      </c>
      <c r="J23" s="27">
        <f t="shared" si="8"/>
        <v>1</v>
      </c>
      <c r="K23" s="2"/>
      <c r="L23" s="28">
        <f ca="1">COUNTIFS(Inventory!$D$2:$D$1000,B23,Inventory!$I$2:$I$1000,"Not Retired")</f>
        <v>0</v>
      </c>
      <c r="M23" s="29">
        <f ca="1">SUMIFS(Inventory!$E$2:$E$1000,Inventory!$D$2:$D$1000,B23,Inventory!$I$2:$I$1000,"Not Retired")</f>
        <v>0</v>
      </c>
      <c r="N23" s="30">
        <f ca="1">COUNTIFS(Inventory!$D$2:$D$1000,B23,Inventory!$I$2:$I$1000,"Retired")</f>
        <v>3</v>
      </c>
      <c r="O23" s="31">
        <f ca="1">SUMIFS(Inventory!$E$2:$E$1000,Inventory!$D$2:$D$1000,B23,Inventory!$I$2:$I$1000,"Retired")</f>
        <v>11439</v>
      </c>
    </row>
    <row r="24" spans="2:15" ht="15" customHeight="1" x14ac:dyDescent="0.35">
      <c r="B24" s="8" t="s">
        <v>35</v>
      </c>
      <c r="C24" s="9">
        <f>COUNTIFS(Inventory!$D$2:$D$1000,B24,Inventory!$H$2:$H$1000,"YES")</f>
        <v>0</v>
      </c>
      <c r="D24" s="10">
        <f>SUMIFS(Inventory!$E$2:$E$1000,Inventory!$D$2:$D$1000,B24,Inventory!$H$2:$H$1000,"YES")</f>
        <v>0</v>
      </c>
      <c r="E24" s="11">
        <f>COUNTIFS(Inventory!$D$2:$D$1000,B24,Inventory!$H$2:$H$1000,"NO")</f>
        <v>1</v>
      </c>
      <c r="F24" s="12">
        <f>SUMIFS(Inventory!$E$2:$E$1000,Inventory!$D$2:$D$1000,B24,Inventory!$H$2:$H$1000,"NO")</f>
        <v>422</v>
      </c>
      <c r="G24" s="13">
        <f t="shared" si="5"/>
        <v>1</v>
      </c>
      <c r="H24" s="14">
        <f t="shared" si="6"/>
        <v>422</v>
      </c>
      <c r="I24" s="15">
        <f t="shared" si="7"/>
        <v>0</v>
      </c>
      <c r="J24" s="15">
        <f t="shared" si="8"/>
        <v>0</v>
      </c>
      <c r="K24" s="2"/>
      <c r="L24" s="16">
        <f ca="1">COUNTIFS(Inventory!$D$2:$D$1000,B24,Inventory!$I$2:$I$1000,"Not Retired")</f>
        <v>0</v>
      </c>
      <c r="M24" s="17">
        <f ca="1">SUMIFS(Inventory!$E$2:$E$1000,Inventory!$D$2:$D$1000,B24,Inventory!$I$2:$I$1000,"Not Retired")</f>
        <v>0</v>
      </c>
      <c r="N24" s="18">
        <f ca="1">COUNTIFS(Inventory!$D$2:$D$1000,B24,Inventory!$I$2:$I$1000,"Retired")</f>
        <v>1</v>
      </c>
      <c r="O24" s="19">
        <f ca="1">SUMIFS(Inventory!$E$2:$E$1000,Inventory!$D$2:$D$1000,B24,Inventory!$I$2:$I$1000,"Retired")</f>
        <v>422</v>
      </c>
    </row>
    <row r="25" spans="2:15" ht="15" customHeight="1" x14ac:dyDescent="0.35">
      <c r="B25" s="8" t="s">
        <v>30</v>
      </c>
      <c r="C25" s="21">
        <f>COUNTIFS(Inventory!$D$2:$D$1000,B25,Inventory!$H$2:$H$1000,"YES")</f>
        <v>0</v>
      </c>
      <c r="D25" s="22">
        <f>SUMIFS(Inventory!$E$2:$E$1000,Inventory!$D$2:$D$1000,B25,Inventory!$H$2:$H$1000,"YES")</f>
        <v>0</v>
      </c>
      <c r="E25" s="23">
        <f>COUNTIFS(Inventory!$D$2:$D$1000,B25,Inventory!$H$2:$H$1000,"NO")</f>
        <v>1</v>
      </c>
      <c r="F25" s="24">
        <f>SUMIFS(Inventory!$E$2:$E$1000,Inventory!$D$2:$D$1000,B25,Inventory!$H$2:$H$1000,"NO")</f>
        <v>811</v>
      </c>
      <c r="G25" s="25">
        <f t="shared" si="5"/>
        <v>1</v>
      </c>
      <c r="H25" s="26">
        <f t="shared" si="6"/>
        <v>811</v>
      </c>
      <c r="I25" s="27">
        <f t="shared" si="7"/>
        <v>0</v>
      </c>
      <c r="J25" s="27">
        <f t="shared" si="8"/>
        <v>0</v>
      </c>
      <c r="K25" s="2"/>
      <c r="L25" s="28">
        <f ca="1">COUNTIFS(Inventory!$D$2:$D$1000,B25,Inventory!$I$2:$I$1000,"Not Retired")</f>
        <v>1</v>
      </c>
      <c r="M25" s="29">
        <f ca="1">SUMIFS(Inventory!$E$2:$E$1000,Inventory!$D$2:$D$1000,B25,Inventory!$I$2:$I$1000,"Not Retired")</f>
        <v>811</v>
      </c>
      <c r="N25" s="30">
        <f ca="1">COUNTIFS(Inventory!$D$2:$D$1000,B25,Inventory!$I$2:$I$1000,"Retired")</f>
        <v>0</v>
      </c>
      <c r="O25" s="31">
        <f ca="1">SUMIFS(Inventory!$E$2:$E$1000,Inventory!$D$2:$D$1000,B25,Inventory!$I$2:$I$1000,"Retired")</f>
        <v>0</v>
      </c>
    </row>
    <row r="26" spans="2:15" ht="15" customHeight="1" x14ac:dyDescent="0.35">
      <c r="B26" s="20" t="s">
        <v>27</v>
      </c>
      <c r="C26" s="9">
        <f>COUNTIFS(Inventory!$D$2:$D$1000,B26,Inventory!$H$2:$H$1000,"YES")</f>
        <v>3</v>
      </c>
      <c r="D26" s="10">
        <f>SUMIFS(Inventory!$E$2:$E$1000,Inventory!$D$2:$D$1000,B26,Inventory!$H$2:$H$1000,"YES")</f>
        <v>5224</v>
      </c>
      <c r="E26" s="11">
        <f>COUNTIFS(Inventory!$D$2:$D$1000,B26,Inventory!$H$2:$H$1000,"NO")</f>
        <v>4</v>
      </c>
      <c r="F26" s="12">
        <f>SUMIFS(Inventory!$E$2:$E$1000,Inventory!$D$2:$D$1000,B26,Inventory!$H$2:$H$1000,"NO")</f>
        <v>2770</v>
      </c>
      <c r="G26" s="13">
        <f t="shared" si="5"/>
        <v>7</v>
      </c>
      <c r="H26" s="14">
        <f t="shared" si="6"/>
        <v>7994</v>
      </c>
      <c r="I26" s="15">
        <f t="shared" si="7"/>
        <v>0.42857142857142855</v>
      </c>
      <c r="J26" s="15">
        <f t="shared" si="8"/>
        <v>0.65349011758819109</v>
      </c>
      <c r="K26" s="2"/>
      <c r="L26" s="16">
        <f ca="1">COUNTIFS(Inventory!$D$2:$D$1000,B26,Inventory!$I$2:$I$1000,"Not Retired")</f>
        <v>7</v>
      </c>
      <c r="M26" s="17">
        <f ca="1">SUMIFS(Inventory!$E$2:$E$1000,Inventory!$D$2:$D$1000,B26,Inventory!$I$2:$I$1000,"Not Retired")</f>
        <v>7994</v>
      </c>
      <c r="N26" s="18">
        <f ca="1">COUNTIFS(Inventory!$D$2:$D$1000,B26,Inventory!$I$2:$I$1000,"Retired")</f>
        <v>0</v>
      </c>
      <c r="O26" s="19">
        <f ca="1">SUMIFS(Inventory!$E$2:$E$1000,Inventory!$D$2:$D$1000,B26,Inventory!$I$2:$I$1000,"Retired")</f>
        <v>0</v>
      </c>
    </row>
    <row r="27" spans="2:15" ht="15" customHeight="1" x14ac:dyDescent="0.35">
      <c r="B27" s="20" t="s">
        <v>33</v>
      </c>
      <c r="C27" s="21">
        <f>COUNTIFS(Inventory!$D$2:$D$1000,B27,Inventory!$H$2:$H$1000,"YES")</f>
        <v>1</v>
      </c>
      <c r="D27" s="22">
        <f>SUMIFS(Inventory!$E$2:$E$1000,Inventory!$D$2:$D$1000,B27,Inventory!$H$2:$H$1000,"YES")</f>
        <v>403</v>
      </c>
      <c r="E27" s="23">
        <f>COUNTIFS(Inventory!$D$2:$D$1000,B27,Inventory!$H$2:$H$1000,"NO")</f>
        <v>2</v>
      </c>
      <c r="F27" s="24">
        <f>SUMIFS(Inventory!$E$2:$E$1000,Inventory!$D$2:$D$1000,B27,Inventory!$H$2:$H$1000,"NO")</f>
        <v>758</v>
      </c>
      <c r="G27" s="25">
        <f t="shared" si="5"/>
        <v>3</v>
      </c>
      <c r="H27" s="26">
        <f t="shared" si="6"/>
        <v>1161</v>
      </c>
      <c r="I27" s="27">
        <f t="shared" si="7"/>
        <v>0.33333333333333331</v>
      </c>
      <c r="J27" s="27">
        <f t="shared" si="8"/>
        <v>0.34711455641688199</v>
      </c>
      <c r="K27" s="2"/>
      <c r="L27" s="28">
        <f ca="1">COUNTIFS(Inventory!$D$2:$D$1000,B27,Inventory!$I$2:$I$1000,"Not Retired")</f>
        <v>2</v>
      </c>
      <c r="M27" s="29">
        <f ca="1">SUMIFS(Inventory!$E$2:$E$1000,Inventory!$D$2:$D$1000,B27,Inventory!$I$2:$I$1000,"Not Retired")</f>
        <v>758</v>
      </c>
      <c r="N27" s="30">
        <f ca="1">COUNTIFS(Inventory!$D$2:$D$1000,B27,Inventory!$I$2:$I$1000,"Retired")</f>
        <v>1</v>
      </c>
      <c r="O27" s="31">
        <f ca="1">SUMIFS(Inventory!$E$2:$E$1000,Inventory!$D$2:$D$1000,B27,Inventory!$I$2:$I$1000,"Retired")</f>
        <v>403</v>
      </c>
    </row>
    <row r="28" spans="2:15" ht="15" customHeight="1" x14ac:dyDescent="0.35">
      <c r="B28" s="8" t="s">
        <v>20</v>
      </c>
      <c r="C28" s="9">
        <f>COUNTIFS(Inventory!$D$2:$D$1000,B28,Inventory!$H$2:$H$1000,"YES")</f>
        <v>9</v>
      </c>
      <c r="D28" s="10">
        <f>SUMIFS(Inventory!$E$2:$E$1000,Inventory!$D$2:$D$1000,B28,Inventory!$H$2:$H$1000,"YES")</f>
        <v>19382</v>
      </c>
      <c r="E28" s="11">
        <f>COUNTIFS(Inventory!$D$2:$D$1000,B28,Inventory!$H$2:$H$1000,"NO")</f>
        <v>8</v>
      </c>
      <c r="F28" s="12">
        <f>SUMIFS(Inventory!$E$2:$E$1000,Inventory!$D$2:$D$1000,B28,Inventory!$H$2:$H$1000,"NO")</f>
        <v>24679</v>
      </c>
      <c r="G28" s="13">
        <f t="shared" si="5"/>
        <v>17</v>
      </c>
      <c r="H28" s="14">
        <f t="shared" si="6"/>
        <v>44061</v>
      </c>
      <c r="I28" s="15">
        <f t="shared" si="7"/>
        <v>0.52941176470588236</v>
      </c>
      <c r="J28" s="15">
        <f t="shared" si="8"/>
        <v>0.43989015228887224</v>
      </c>
      <c r="K28" s="2"/>
      <c r="L28" s="16">
        <f ca="1">COUNTIFS(Inventory!$D$2:$D$1000,B28,Inventory!$I$2:$I$1000,"Not Retired")</f>
        <v>13</v>
      </c>
      <c r="M28" s="17">
        <f ca="1">SUMIFS(Inventory!$E$2:$E$1000,Inventory!$D$2:$D$1000,B28,Inventory!$I$2:$I$1000,"Not Retired")</f>
        <v>34793</v>
      </c>
      <c r="N28" s="18">
        <f ca="1">COUNTIFS(Inventory!$D$2:$D$1000,B28,Inventory!$I$2:$I$1000,"Retired")</f>
        <v>4</v>
      </c>
      <c r="O28" s="19">
        <f ca="1">SUMIFS(Inventory!$E$2:$E$1000,Inventory!$D$2:$D$1000,B28,Inventory!$I$2:$I$1000,"Retired")</f>
        <v>9268</v>
      </c>
    </row>
    <row r="29" spans="2:15" ht="15" customHeight="1" x14ac:dyDescent="0.35">
      <c r="B29" s="20" t="s">
        <v>21</v>
      </c>
      <c r="C29" s="21">
        <f>COUNTIFS(Inventory!$D$2:$D$1000,B29,Inventory!$H$2:$H$1000,"YES")</f>
        <v>6</v>
      </c>
      <c r="D29" s="22">
        <f>SUMIFS(Inventory!$E$2:$E$1000,Inventory!$D$2:$D$1000,B29,Inventory!$H$2:$H$1000,"YES")</f>
        <v>8258</v>
      </c>
      <c r="E29" s="23">
        <f>COUNTIFS(Inventory!$D$2:$D$1000,B29,Inventory!$H$2:$H$1000,"NO")</f>
        <v>3</v>
      </c>
      <c r="F29" s="24">
        <f>SUMIFS(Inventory!$E$2:$E$1000,Inventory!$D$2:$D$1000,B29,Inventory!$H$2:$H$1000,"NO")</f>
        <v>3844</v>
      </c>
      <c r="G29" s="25">
        <f t="shared" si="5"/>
        <v>9</v>
      </c>
      <c r="H29" s="26">
        <f t="shared" si="6"/>
        <v>12102</v>
      </c>
      <c r="I29" s="27">
        <f t="shared" si="7"/>
        <v>0.66666666666666663</v>
      </c>
      <c r="J29" s="27">
        <f t="shared" si="8"/>
        <v>0.68236655098330856</v>
      </c>
      <c r="K29" s="2"/>
      <c r="L29" s="28">
        <f ca="1">COUNTIFS(Inventory!$D$2:$D$1000,B29,Inventory!$I$2:$I$1000,"Not Retired")</f>
        <v>5</v>
      </c>
      <c r="M29" s="29">
        <f ca="1">SUMIFS(Inventory!$E$2:$E$1000,Inventory!$D$2:$D$1000,B29,Inventory!$I$2:$I$1000,"Not Retired")</f>
        <v>6167</v>
      </c>
      <c r="N29" s="30">
        <f ca="1">COUNTIFS(Inventory!$D$2:$D$1000,B29,Inventory!$I$2:$I$1000,"Retired")</f>
        <v>4</v>
      </c>
      <c r="O29" s="31">
        <f ca="1">SUMIFS(Inventory!$E$2:$E$1000,Inventory!$D$2:$D$1000,B29,Inventory!$I$2:$I$1000,"Retired")</f>
        <v>5935</v>
      </c>
    </row>
    <row r="30" spans="2:15" ht="15" customHeight="1" x14ac:dyDescent="0.35">
      <c r="B30" s="20" t="s">
        <v>31</v>
      </c>
      <c r="C30" s="9">
        <f>COUNTIFS(Inventory!$D$2:$D$1000,B30,Inventory!$H$2:$H$1000,"YES")</f>
        <v>1</v>
      </c>
      <c r="D30" s="10">
        <f>SUMIFS(Inventory!$E$2:$E$1000,Inventory!$D$2:$D$1000,B30,Inventory!$H$2:$H$1000,"YES")</f>
        <v>3145</v>
      </c>
      <c r="E30" s="11">
        <f>COUNTIFS(Inventory!$D$2:$D$1000,B30,Inventory!$H$2:$H$1000,"NO")</f>
        <v>1</v>
      </c>
      <c r="F30" s="12">
        <f>SUMIFS(Inventory!$E$2:$E$1000,Inventory!$D$2:$D$1000,B30,Inventory!$H$2:$H$1000,"NO")</f>
        <v>1154</v>
      </c>
      <c r="G30" s="13">
        <f t="shared" si="5"/>
        <v>2</v>
      </c>
      <c r="H30" s="14">
        <f t="shared" si="6"/>
        <v>4299</v>
      </c>
      <c r="I30" s="15">
        <f t="shared" si="7"/>
        <v>0.5</v>
      </c>
      <c r="J30" s="15">
        <f t="shared" si="8"/>
        <v>0.73156548034426616</v>
      </c>
      <c r="K30" s="2"/>
      <c r="L30" s="16">
        <f ca="1">COUNTIFS(Inventory!$D$2:$D$1000,B30,Inventory!$I$2:$I$1000,"Not Retired")</f>
        <v>2</v>
      </c>
      <c r="M30" s="17">
        <f ca="1">SUMIFS(Inventory!$E$2:$E$1000,Inventory!$D$2:$D$1000,B30,Inventory!$I$2:$I$1000,"Not Retired")</f>
        <v>4299</v>
      </c>
      <c r="N30" s="18">
        <f ca="1">COUNTIFS(Inventory!$D$2:$D$1000,B30,Inventory!$I$2:$I$1000,"Retired")</f>
        <v>0</v>
      </c>
      <c r="O30" s="19">
        <f ca="1">SUMIFS(Inventory!$E$2:$E$1000,Inventory!$D$2:$D$1000,B30,Inventory!$I$2:$I$1000,"Retired")</f>
        <v>0</v>
      </c>
    </row>
    <row r="31" spans="2:15" ht="15" customHeight="1" x14ac:dyDescent="0.35">
      <c r="B31" s="8" t="s">
        <v>24</v>
      </c>
      <c r="C31" s="21">
        <f>COUNTIFS(Inventory!$D$2:$D$1000,B31,Inventory!$H$2:$H$1000,"YES")</f>
        <v>1</v>
      </c>
      <c r="D31" s="22">
        <f>SUMIFS(Inventory!$E$2:$E$1000,Inventory!$D$2:$D$1000,B31,Inventory!$H$2:$H$1000,"YES")</f>
        <v>436</v>
      </c>
      <c r="E31" s="23">
        <f>COUNTIFS(Inventory!$D$2:$D$1000,B31,Inventory!$H$2:$H$1000,"NO")</f>
        <v>3</v>
      </c>
      <c r="F31" s="24">
        <f>SUMIFS(Inventory!$E$2:$E$1000,Inventory!$D$2:$D$1000,B31,Inventory!$H$2:$H$1000,"NO")</f>
        <v>5912</v>
      </c>
      <c r="G31" s="25">
        <f t="shared" si="5"/>
        <v>4</v>
      </c>
      <c r="H31" s="26">
        <f t="shared" si="6"/>
        <v>6348</v>
      </c>
      <c r="I31" s="27">
        <f t="shared" si="7"/>
        <v>0.25</v>
      </c>
      <c r="J31" s="27">
        <f t="shared" si="8"/>
        <v>6.8683049779458091E-2</v>
      </c>
      <c r="K31" s="2"/>
      <c r="L31" s="28">
        <f ca="1">COUNTIFS(Inventory!$D$2:$D$1000,B31,Inventory!$I$2:$I$1000,"Not Retired")</f>
        <v>2</v>
      </c>
      <c r="M31" s="29">
        <f ca="1">SUMIFS(Inventory!$E$2:$E$1000,Inventory!$D$2:$D$1000,B31,Inventory!$I$2:$I$1000,"Not Retired")</f>
        <v>1733</v>
      </c>
      <c r="N31" s="30">
        <f ca="1">COUNTIFS(Inventory!$D$2:$D$1000,B31,Inventory!$I$2:$I$1000,"Retired")</f>
        <v>2</v>
      </c>
      <c r="O31" s="31">
        <f ca="1">SUMIFS(Inventory!$E$2:$E$1000,Inventory!$D$2:$D$1000,B31,Inventory!$I$2:$I$1000,"Retired")</f>
        <v>4615</v>
      </c>
    </row>
    <row r="32" spans="2:15" ht="15" customHeight="1" x14ac:dyDescent="0.35">
      <c r="B32" s="8" t="s">
        <v>28</v>
      </c>
      <c r="C32" s="9">
        <f>COUNTIFS(Inventory!$D$2:$D$1000,B32,Inventory!$H$2:$H$1000,"YES")</f>
        <v>1</v>
      </c>
      <c r="D32" s="10">
        <f>SUMIFS(Inventory!$E$2:$E$1000,Inventory!$D$2:$D$1000,B32,Inventory!$H$2:$H$1000,"YES")</f>
        <v>245</v>
      </c>
      <c r="E32" s="11">
        <f>COUNTIFS(Inventory!$D$2:$D$1000,B32,Inventory!$H$2:$H$1000,"NO")</f>
        <v>4</v>
      </c>
      <c r="F32" s="12">
        <f>SUMIFS(Inventory!$E$2:$E$1000,Inventory!$D$2:$D$1000,B32,Inventory!$H$2:$H$1000,"NO")</f>
        <v>8455</v>
      </c>
      <c r="G32" s="13">
        <f t="shared" si="5"/>
        <v>5</v>
      </c>
      <c r="H32" s="14">
        <f t="shared" si="6"/>
        <v>8700</v>
      </c>
      <c r="I32" s="15">
        <f t="shared" si="7"/>
        <v>0.2</v>
      </c>
      <c r="J32" s="15">
        <f t="shared" si="8"/>
        <v>2.8160919540229885E-2</v>
      </c>
      <c r="K32" s="2"/>
      <c r="L32" s="16">
        <f ca="1">COUNTIFS(Inventory!$D$2:$D$1000,B32,Inventory!$I$2:$I$1000,"Not Retired")</f>
        <v>5</v>
      </c>
      <c r="M32" s="17">
        <f ca="1">SUMIFS(Inventory!$E$2:$E$1000,Inventory!$D$2:$D$1000,B32,Inventory!$I$2:$I$1000,"Not Retired")</f>
        <v>8700</v>
      </c>
      <c r="N32" s="18">
        <f ca="1">COUNTIFS(Inventory!$D$2:$D$1000,B32,Inventory!$I$2:$I$1000,"Retired")</f>
        <v>0</v>
      </c>
      <c r="O32" s="19">
        <f ca="1">SUMIFS(Inventory!$E$2:$E$1000,Inventory!$D$2:$D$1000,B32,Inventory!$I$2:$I$1000,"Retired")</f>
        <v>0</v>
      </c>
    </row>
    <row r="33" spans="2:18" ht="15" customHeight="1" x14ac:dyDescent="0.35">
      <c r="B33" s="20" t="s">
        <v>29</v>
      </c>
      <c r="C33" s="21">
        <f>COUNTIFS(Inventory!$D$2:$D$1000,B33,Inventory!$H$2:$H$1000,"YES")</f>
        <v>1</v>
      </c>
      <c r="D33" s="22">
        <f>SUMIFS(Inventory!$E$2:$E$1000,Inventory!$D$2:$D$1000,B33,Inventory!$H$2:$H$1000,"YES")</f>
        <v>587</v>
      </c>
      <c r="E33" s="23">
        <f>COUNTIFS(Inventory!$D$2:$D$1000,B33,Inventory!$H$2:$H$1000,"NO")</f>
        <v>1</v>
      </c>
      <c r="F33" s="24">
        <f>SUMIFS(Inventory!$E$2:$E$1000,Inventory!$D$2:$D$1000,B33,Inventory!$H$2:$H$1000,"NO")</f>
        <v>2050</v>
      </c>
      <c r="G33" s="25">
        <f t="shared" si="5"/>
        <v>2</v>
      </c>
      <c r="H33" s="26">
        <f t="shared" si="6"/>
        <v>2637</v>
      </c>
      <c r="I33" s="27">
        <f t="shared" si="7"/>
        <v>0.5</v>
      </c>
      <c r="J33" s="27">
        <f t="shared" si="8"/>
        <v>0.22260144103147517</v>
      </c>
      <c r="K33" s="2"/>
      <c r="L33" s="28">
        <f ca="1">COUNTIFS(Inventory!$D$2:$D$1000,B33,Inventory!$I$2:$I$1000,"Not Retired")</f>
        <v>2</v>
      </c>
      <c r="M33" s="29">
        <f ca="1">SUMIFS(Inventory!$E$2:$E$1000,Inventory!$D$2:$D$1000,B33,Inventory!$I$2:$I$1000,"Not Retired")</f>
        <v>2637</v>
      </c>
      <c r="N33" s="30">
        <f ca="1">COUNTIFS(Inventory!$D$2:$D$1000,B33,Inventory!$I$2:$I$1000,"Retired")</f>
        <v>0</v>
      </c>
      <c r="O33" s="31">
        <f ca="1">SUMIFS(Inventory!$E$2:$E$1000,Inventory!$D$2:$D$1000,B33,Inventory!$I$2:$I$1000,"Retired")</f>
        <v>0</v>
      </c>
    </row>
    <row r="34" spans="2:18" ht="15" customHeight="1" x14ac:dyDescent="0.35">
      <c r="B34" s="8" t="s">
        <v>206</v>
      </c>
      <c r="C34" s="9">
        <f>COUNTIFS(Inventory!$D$2:$D$1000,B34,Inventory!$H$2:$H$1000,"YES")</f>
        <v>0</v>
      </c>
      <c r="D34" s="10">
        <f>SUMIFS(Inventory!$E$2:$E$1000,Inventory!$D$2:$D$1000,B34,Inventory!$H$2:$H$1000,"YES")</f>
        <v>0</v>
      </c>
      <c r="E34" s="11">
        <f>COUNTIFS(Inventory!$D$2:$D$1000,B34,Inventory!$H$2:$H$1000,"NO")</f>
        <v>1</v>
      </c>
      <c r="F34" s="12">
        <f>SUMIFS(Inventory!$E$2:$E$1000,Inventory!$D$2:$D$1000,B34,Inventory!$H$2:$H$1000,"NO")</f>
        <v>1403</v>
      </c>
      <c r="G34" s="13">
        <f t="shared" si="5"/>
        <v>1</v>
      </c>
      <c r="H34" s="14">
        <f t="shared" si="6"/>
        <v>1403</v>
      </c>
      <c r="I34" s="15">
        <f t="shared" si="7"/>
        <v>0</v>
      </c>
      <c r="J34" s="15">
        <f t="shared" si="8"/>
        <v>0</v>
      </c>
      <c r="K34" s="2"/>
      <c r="L34" s="16">
        <f ca="1">COUNTIFS(Inventory!$D$2:$D$1000,B34,Inventory!$I$2:$I$1000,"Not Retired")</f>
        <v>1</v>
      </c>
      <c r="M34" s="17">
        <f ca="1">SUMIFS(Inventory!$E$2:$E$1000,Inventory!$D$2:$D$1000,B34,Inventory!$I$2:$I$1000,"Not Retired")</f>
        <v>1403</v>
      </c>
      <c r="N34" s="18">
        <f ca="1">COUNTIFS(Inventory!$D$2:$D$1000,B34,Inventory!$I$2:$I$1000,"Retired")</f>
        <v>0</v>
      </c>
      <c r="O34" s="19">
        <f ca="1">SUMIFS(Inventory!$E$2:$E$1000,Inventory!$D$2:$D$1000,B34,Inventory!$I$2:$I$1000,"Retired")</f>
        <v>0</v>
      </c>
    </row>
    <row r="35" spans="2:18" ht="15" customHeight="1" x14ac:dyDescent="0.35">
      <c r="B35" s="8" t="s">
        <v>22</v>
      </c>
      <c r="C35" s="21">
        <f>COUNTIFS(Inventory!$D$2:$D$1000,B35,Inventory!$H$2:$H$1000,"YES")</f>
        <v>5</v>
      </c>
      <c r="D35" s="22">
        <f>SUMIFS(Inventory!$E$2:$E$1000,Inventory!$D$2:$D$1000,B35,Inventory!$H$2:$H$1000,"YES")</f>
        <v>1510</v>
      </c>
      <c r="E35" s="23">
        <f>COUNTIFS(Inventory!$D$2:$D$1000,B35,Inventory!$H$2:$H$1000,"NO")</f>
        <v>5</v>
      </c>
      <c r="F35" s="24">
        <f>SUMIFS(Inventory!$E$2:$E$1000,Inventory!$D$2:$D$1000,B35,Inventory!$H$2:$H$1000,"NO")</f>
        <v>1606</v>
      </c>
      <c r="G35" s="25">
        <f t="shared" si="5"/>
        <v>10</v>
      </c>
      <c r="H35" s="26">
        <f t="shared" si="6"/>
        <v>3116</v>
      </c>
      <c r="I35" s="27">
        <f t="shared" si="7"/>
        <v>0.5</v>
      </c>
      <c r="J35" s="27">
        <f t="shared" si="8"/>
        <v>0.48459563543003853</v>
      </c>
      <c r="K35" s="2"/>
      <c r="L35" s="28">
        <f ca="1">COUNTIFS(Inventory!$D$2:$D$1000,B35,Inventory!$I$2:$I$1000,"Not Retired")</f>
        <v>9</v>
      </c>
      <c r="M35" s="29">
        <f ca="1">SUMIFS(Inventory!$E$2:$E$1000,Inventory!$D$2:$D$1000,B35,Inventory!$I$2:$I$1000,"Not Retired")</f>
        <v>2552</v>
      </c>
      <c r="N35" s="30">
        <f ca="1">COUNTIFS(Inventory!$D$2:$D$1000,B35,Inventory!$I$2:$I$1000,"Retired")</f>
        <v>1</v>
      </c>
      <c r="O35" s="31">
        <f ca="1">SUMIFS(Inventory!$E$2:$E$1000,Inventory!$D$2:$D$1000,B35,Inventory!$I$2:$I$1000,"Retired")</f>
        <v>564</v>
      </c>
    </row>
    <row r="36" spans="2:18" ht="15" customHeight="1" x14ac:dyDescent="0.35">
      <c r="B36" s="8" t="s">
        <v>18</v>
      </c>
      <c r="C36" s="9">
        <f>COUNTIFS(Inventory!$D$2:$D$1000,B36,Inventory!$H$2:$H$1000,"YES")</f>
        <v>18</v>
      </c>
      <c r="D36" s="10">
        <f>SUMIFS(Inventory!$E$2:$E$1000,Inventory!$D$2:$D$1000,B36,Inventory!$H$2:$H$1000,"YES")</f>
        <v>12974</v>
      </c>
      <c r="E36" s="11">
        <f>COUNTIFS(Inventory!$D$2:$D$1000,B36,Inventory!$H$2:$H$1000,"NO")</f>
        <v>38</v>
      </c>
      <c r="F36" s="12">
        <f>SUMIFS(Inventory!$E$2:$E$1000,Inventory!$D$2:$D$1000,B36,Inventory!$H$2:$H$1000,"NO")</f>
        <v>37984</v>
      </c>
      <c r="G36" s="13">
        <f t="shared" si="5"/>
        <v>56</v>
      </c>
      <c r="H36" s="14">
        <f t="shared" si="6"/>
        <v>50958</v>
      </c>
      <c r="I36" s="15">
        <f t="shared" si="7"/>
        <v>0.32142857142857145</v>
      </c>
      <c r="J36" s="15">
        <f t="shared" si="8"/>
        <v>0.25460182895718042</v>
      </c>
      <c r="K36" s="2"/>
      <c r="L36" s="16">
        <f ca="1">COUNTIFS(Inventory!$D$2:$D$1000,B36,Inventory!$I$2:$I$1000,"Not Retired")</f>
        <v>24</v>
      </c>
      <c r="M36" s="17">
        <f ca="1">SUMIFS(Inventory!$E$2:$E$1000,Inventory!$D$2:$D$1000,B36,Inventory!$I$2:$I$1000,"Not Retired")</f>
        <v>28498</v>
      </c>
      <c r="N36" s="18">
        <f ca="1">COUNTIFS(Inventory!$D$2:$D$1000,B36,Inventory!$I$2:$I$1000,"Retired")</f>
        <v>32</v>
      </c>
      <c r="O36" s="19">
        <f ca="1">SUMIFS(Inventory!$E$2:$E$1000,Inventory!$D$2:$D$1000,B36,Inventory!$I$2:$I$1000,"Retired")</f>
        <v>22460</v>
      </c>
    </row>
    <row r="37" spans="2:18" ht="15" customHeight="1" x14ac:dyDescent="0.35">
      <c r="B37" s="20" t="s">
        <v>23</v>
      </c>
      <c r="C37" s="9">
        <f>COUNTIFS(Inventory!$D$2:$D$1000,B37,Inventory!$H$2:$H$1000,"YES")</f>
        <v>3</v>
      </c>
      <c r="D37" s="10">
        <f>SUMIFS(Inventory!$E$2:$E$1000,Inventory!$D$2:$D$1000,B37,Inventory!$H$2:$H$1000,"YES")</f>
        <v>2627</v>
      </c>
      <c r="E37" s="11">
        <f>COUNTIFS(Inventory!$D$2:$D$1000,B37,Inventory!$H$2:$H$1000,"NO")</f>
        <v>4</v>
      </c>
      <c r="F37" s="12">
        <f>SUMIFS(Inventory!$E$2:$E$1000,Inventory!$D$2:$D$1000,B37,Inventory!$H$2:$H$1000,"NO")</f>
        <v>8227</v>
      </c>
      <c r="G37" s="13">
        <f t="shared" si="5"/>
        <v>7</v>
      </c>
      <c r="H37" s="14">
        <f t="shared" si="6"/>
        <v>10854</v>
      </c>
      <c r="I37" s="15">
        <f t="shared" si="7"/>
        <v>0.42857142857142855</v>
      </c>
      <c r="J37" s="15">
        <f t="shared" si="8"/>
        <v>0.24203058780173209</v>
      </c>
      <c r="K37" s="2"/>
      <c r="L37" s="16">
        <f ca="1">COUNTIFS(Inventory!$D$2:$D$1000,B37,Inventory!$I$2:$I$1000,"Not Retired")</f>
        <v>4</v>
      </c>
      <c r="M37" s="17">
        <f ca="1">SUMIFS(Inventory!$E$2:$E$1000,Inventory!$D$2:$D$1000,B37,Inventory!$I$2:$I$1000,"Not Retired")</f>
        <v>5167</v>
      </c>
      <c r="N37" s="18">
        <f ca="1">COUNTIFS(Inventory!$D$2:$D$1000,B37,Inventory!$I$2:$I$1000,"Retired")</f>
        <v>3</v>
      </c>
      <c r="O37" s="19">
        <f ca="1">SUMIFS(Inventory!$E$2:$E$1000,Inventory!$D$2:$D$1000,B37,Inventory!$I$2:$I$1000,"Retired")</f>
        <v>5687</v>
      </c>
    </row>
    <row r="38" spans="2:18" ht="15" customHeight="1" x14ac:dyDescent="0.35">
      <c r="B38" s="8" t="s">
        <v>26</v>
      </c>
      <c r="C38" s="9">
        <f>COUNTIFS(Inventory!$D$2:$D$1000,B38,Inventory!$H$2:$H$1000,"YES")</f>
        <v>2</v>
      </c>
      <c r="D38" s="10">
        <f>SUMIFS(Inventory!$E$2:$E$1000,Inventory!$D$2:$D$1000,B38,Inventory!$H$2:$H$1000,"YES")</f>
        <v>3036</v>
      </c>
      <c r="E38" s="11">
        <f>COUNTIFS(Inventory!$D$2:$D$1000,B38,Inventory!$H$2:$H$1000,"NO")</f>
        <v>1</v>
      </c>
      <c r="F38" s="12">
        <f>SUMIFS(Inventory!$E$2:$E$1000,Inventory!$D$2:$D$1000,B38,Inventory!$H$2:$H$1000,"NO")</f>
        <v>1516</v>
      </c>
      <c r="G38" s="13">
        <f t="shared" ref="G38" si="9">C38+E38</f>
        <v>3</v>
      </c>
      <c r="H38" s="14">
        <f t="shared" ref="H38" si="10">D38+F38</f>
        <v>4552</v>
      </c>
      <c r="I38" s="15">
        <f t="shared" ref="I38" si="11">IF(G38=0,"",C38/G38)</f>
        <v>0.66666666666666663</v>
      </c>
      <c r="J38" s="15">
        <f t="shared" ref="J38" si="12">IF(H38=0,"",D38/H38)</f>
        <v>0.66695957820738139</v>
      </c>
      <c r="K38" s="2"/>
      <c r="L38" s="16">
        <f ca="1">COUNTIFS(Inventory!$D$2:$D$1000,B38,Inventory!$I$2:$I$1000,"Not Retired")</f>
        <v>1</v>
      </c>
      <c r="M38" s="17">
        <f ca="1">SUMIFS(Inventory!$E$2:$E$1000,Inventory!$D$2:$D$1000,B38,Inventory!$I$2:$I$1000,"Not Retired")</f>
        <v>1516</v>
      </c>
      <c r="N38" s="18">
        <f ca="1">COUNTIFS(Inventory!$D$2:$D$1000,B38,Inventory!$I$2:$I$1000,"Retired")</f>
        <v>2</v>
      </c>
      <c r="O38" s="19">
        <f ca="1">SUMIFS(Inventory!$E$2:$E$1000,Inventory!$D$2:$D$1000,B38,Inventory!$I$2:$I$1000,"Retired")</f>
        <v>3036</v>
      </c>
    </row>
    <row r="39" spans="2:18" ht="16.5" customHeight="1" x14ac:dyDescent="0.35">
      <c r="B39" s="32" t="s">
        <v>36</v>
      </c>
      <c r="C39" s="1">
        <f t="shared" ref="C39:H39" si="13">SUM(C20:C37)</f>
        <v>67</v>
      </c>
      <c r="D39" s="33">
        <f t="shared" si="13"/>
        <v>74380</v>
      </c>
      <c r="E39" s="1">
        <f t="shared" si="13"/>
        <v>85</v>
      </c>
      <c r="F39" s="33">
        <f t="shared" si="13"/>
        <v>115425</v>
      </c>
      <c r="G39" s="1">
        <f t="shared" si="13"/>
        <v>152</v>
      </c>
      <c r="H39" s="33">
        <f t="shared" si="13"/>
        <v>189805</v>
      </c>
      <c r="I39" s="34">
        <f t="shared" si="3"/>
        <v>0.44078947368421051</v>
      </c>
      <c r="J39" s="34">
        <f t="shared" si="4"/>
        <v>0.39187587260609574</v>
      </c>
      <c r="K39" s="2"/>
      <c r="L39" s="1">
        <f ca="1">SUM(L20:L37)</f>
        <v>86</v>
      </c>
      <c r="M39" s="33">
        <f ca="1">SUM(M20:M37)</f>
        <v>122198</v>
      </c>
      <c r="N39" s="1">
        <f ca="1">SUM(N20:N37)</f>
        <v>66</v>
      </c>
      <c r="O39" s="33">
        <f ca="1">SUM(O20:O37)</f>
        <v>67607</v>
      </c>
    </row>
    <row r="40" spans="2:18" ht="11" customHeight="1" x14ac:dyDescent="0.35"/>
    <row r="41" spans="2:18" ht="19.5" customHeight="1" x14ac:dyDescent="0.35">
      <c r="B41" s="113" t="s">
        <v>37</v>
      </c>
      <c r="C41" s="113"/>
      <c r="D41" s="113"/>
      <c r="E41" s="54"/>
      <c r="N41" s="54"/>
      <c r="O41" s="54"/>
    </row>
    <row r="42" spans="2:18" ht="15.75" customHeight="1" x14ac:dyDescent="0.35">
      <c r="B42" s="35" t="s">
        <v>38</v>
      </c>
      <c r="C42" s="35" t="s">
        <v>14</v>
      </c>
      <c r="D42" s="35" t="s">
        <v>15</v>
      </c>
      <c r="R42" s="36"/>
    </row>
    <row r="43" spans="2:18" ht="15" customHeight="1" x14ac:dyDescent="0.35">
      <c r="B43" s="37">
        <v>2002</v>
      </c>
      <c r="C43" s="37">
        <f>COUNTIF(Inventory!G2:G1000,B43)</f>
        <v>2</v>
      </c>
      <c r="D43" s="38">
        <f>SUMIF(Inventory!$G$2:$G$1000,B43,Inventory!$E$2:$E$1000)</f>
        <v>702</v>
      </c>
    </row>
    <row r="44" spans="2:18" ht="15" customHeight="1" x14ac:dyDescent="0.35">
      <c r="B44" s="37">
        <v>2003</v>
      </c>
      <c r="C44" s="37">
        <f>COUNTIF(Inventory!G2:G1000,B44)</f>
        <v>2</v>
      </c>
      <c r="D44" s="38">
        <f>SUMIF(Inventory!$G$2:$G$1000,B44,Inventory!$E$2:$E$1000)</f>
        <v>813</v>
      </c>
    </row>
    <row r="45" spans="2:18" ht="15" customHeight="1" x14ac:dyDescent="0.35">
      <c r="B45" s="37">
        <v>2011</v>
      </c>
      <c r="C45" s="37">
        <f>COUNTIF(Inventory!G2:G1000,B45)</f>
        <v>1</v>
      </c>
      <c r="D45" s="38">
        <f>SUMIF(Inventory!$G$2:$G$1000,B45,Inventory!$E$2:$E$1000)</f>
        <v>560</v>
      </c>
    </row>
    <row r="46" spans="2:18" ht="15" customHeight="1" x14ac:dyDescent="0.35">
      <c r="B46" s="39">
        <v>2012</v>
      </c>
      <c r="C46" s="39">
        <f>COUNTIF(Inventory!G2:G1000,B46)</f>
        <v>1</v>
      </c>
      <c r="D46" s="40">
        <f>SUMIF(Inventory!G2:G1000,B46,Inventory!E2:E1000)</f>
        <v>4287</v>
      </c>
    </row>
    <row r="47" spans="2:18" ht="15" customHeight="1" x14ac:dyDescent="0.35">
      <c r="B47" s="37">
        <v>2015</v>
      </c>
      <c r="C47" s="37">
        <f>COUNTIF(Inventory!G2:G1000,B47)</f>
        <v>2</v>
      </c>
      <c r="D47" s="38">
        <f>SUMIF(Inventory!G2:G1000,B47,Inventory!E2:E1000)</f>
        <v>708</v>
      </c>
      <c r="F47" s="36"/>
      <c r="G47" s="36"/>
      <c r="H47" s="36"/>
    </row>
    <row r="48" spans="2:18" ht="15" customHeight="1" x14ac:dyDescent="0.35">
      <c r="B48" s="39">
        <v>2016</v>
      </c>
      <c r="C48" s="39">
        <f>COUNTIF(Inventory!G2:G1000,B48)</f>
        <v>7</v>
      </c>
      <c r="D48" s="40">
        <f>SUMIF(Inventory!G2:G1000,B48,Inventory!E2:E1000)</f>
        <v>4706</v>
      </c>
      <c r="F48" s="36"/>
      <c r="G48" s="36"/>
      <c r="H48" s="36"/>
    </row>
    <row r="49" spans="2:15" ht="15" customHeight="1" x14ac:dyDescent="0.35">
      <c r="B49" s="37">
        <v>2017</v>
      </c>
      <c r="C49" s="37">
        <f>COUNTIF(Inventory!G2:G1000,B49)</f>
        <v>8</v>
      </c>
      <c r="D49" s="38">
        <f>SUMIF(Inventory!G2:G1000,B49,Inventory!E2:E1000)</f>
        <v>3175</v>
      </c>
    </row>
    <row r="50" spans="2:15" ht="15" customHeight="1" x14ac:dyDescent="0.35">
      <c r="B50" s="39">
        <v>2018</v>
      </c>
      <c r="C50" s="39">
        <f>COUNTIF(Inventory!G2:G1000,B50)</f>
        <v>4</v>
      </c>
      <c r="D50" s="40">
        <f>SUMIF(Inventory!G2:G1000,B50,Inventory!E2:E1000)</f>
        <v>5981</v>
      </c>
    </row>
    <row r="51" spans="2:15" ht="15" customHeight="1" x14ac:dyDescent="0.35">
      <c r="B51" s="37">
        <v>2021</v>
      </c>
      <c r="C51" s="37">
        <f>COUNTIF(Inventory!G2:G1000,B51)</f>
        <v>4</v>
      </c>
      <c r="D51" s="38">
        <f>SUMIF(Inventory!G2:G1000,B51,Inventory!E2:E1000)</f>
        <v>2574</v>
      </c>
    </row>
    <row r="52" spans="2:15" ht="15" customHeight="1" x14ac:dyDescent="0.35">
      <c r="B52" s="39">
        <v>2022</v>
      </c>
      <c r="C52" s="39">
        <f>COUNTIF(Inventory!G2:G1000,B52)</f>
        <v>8</v>
      </c>
      <c r="D52" s="40">
        <f>SUMIF(Inventory!G2:G1000,B52,Inventory!E2:E1000)</f>
        <v>8591</v>
      </c>
    </row>
    <row r="53" spans="2:15" ht="15" customHeight="1" x14ac:dyDescent="0.35">
      <c r="B53" s="37">
        <v>2023</v>
      </c>
      <c r="C53" s="37">
        <f>COUNTIF(Inventory!G2:G1000,B53)</f>
        <v>5</v>
      </c>
      <c r="D53" s="38">
        <f>SUMIF(Inventory!G2:G1000,B53,Inventory!E2:E1000)</f>
        <v>4963</v>
      </c>
    </row>
    <row r="54" spans="2:15" ht="15" customHeight="1" x14ac:dyDescent="0.35">
      <c r="B54" s="39">
        <v>2024</v>
      </c>
      <c r="C54" s="39">
        <f>COUNTIF(Inventory!G2:G1000,B54)</f>
        <v>12</v>
      </c>
      <c r="D54" s="40">
        <f>SUMIF(Inventory!G2:G1000,B54,Inventory!E2:E1000)</f>
        <v>20159</v>
      </c>
    </row>
    <row r="55" spans="2:15" ht="15" customHeight="1" x14ac:dyDescent="0.35">
      <c r="B55" s="37">
        <v>2025</v>
      </c>
      <c r="C55" s="37">
        <f>COUNTIF(Inventory!G2:G1000,B55)</f>
        <v>11</v>
      </c>
      <c r="D55" s="38">
        <f>SUMIF(Inventory!G2:G1000,B55,Inventory!E2:E1000)</f>
        <v>12937</v>
      </c>
    </row>
    <row r="56" spans="2:15" ht="16.5" customHeight="1" x14ac:dyDescent="0.35">
      <c r="B56" s="41">
        <v>2026</v>
      </c>
      <c r="C56" s="41">
        <f>COUNTIF(Inventory!G2:G1000,B56)</f>
        <v>23</v>
      </c>
      <c r="D56" s="42">
        <f>SUMIF(Inventory!G2:G1000,B56,Inventory!E2:E1000)</f>
        <v>44701</v>
      </c>
      <c r="F56" s="53" t="s">
        <v>41</v>
      </c>
      <c r="G56" s="53"/>
      <c r="H56" s="53"/>
      <c r="I56" s="53"/>
    </row>
    <row r="57" spans="2:15" ht="8.5" customHeight="1" x14ac:dyDescent="0.35">
      <c r="B57" s="28" t="s">
        <v>40</v>
      </c>
      <c r="C57" s="28">
        <f>COUNTIF(Inventory!G2:G1000,"-")</f>
        <v>64</v>
      </c>
      <c r="D57" s="43">
        <f>SUMIF(Inventory!G2:G1000,"-",Inventory!E2:E1000)</f>
        <v>79013</v>
      </c>
      <c r="F57" s="1" t="s">
        <v>42</v>
      </c>
      <c r="G57" s="1" t="s">
        <v>14</v>
      </c>
      <c r="H57" s="35" t="s">
        <v>43</v>
      </c>
      <c r="I57" s="35" t="s">
        <v>14</v>
      </c>
    </row>
    <row r="58" spans="2:15" x14ac:dyDescent="0.35">
      <c r="B58" s="44" t="s">
        <v>36</v>
      </c>
      <c r="C58" s="35">
        <f>SUM(C43:C57)</f>
        <v>154</v>
      </c>
      <c r="D58" s="45">
        <f>SUM(D43:D57)</f>
        <v>193870</v>
      </c>
      <c r="F58" s="21" t="s">
        <v>8</v>
      </c>
      <c r="G58" s="21">
        <f ca="1">+G13</f>
        <v>69</v>
      </c>
      <c r="H58" s="28" t="s">
        <v>12</v>
      </c>
      <c r="I58" s="28">
        <f ca="1">+C15</f>
        <v>87</v>
      </c>
    </row>
    <row r="59" spans="2:15" ht="15.75" customHeight="1" x14ac:dyDescent="0.35">
      <c r="F59" s="72" t="s">
        <v>209</v>
      </c>
      <c r="G59" s="11">
        <f ca="1">+G14</f>
        <v>86</v>
      </c>
      <c r="H59" s="18" t="s">
        <v>13</v>
      </c>
      <c r="I59" s="18">
        <f ca="1">+E15</f>
        <v>68</v>
      </c>
    </row>
    <row r="60" spans="2:15" ht="40" customHeight="1" x14ac:dyDescent="0.35">
      <c r="B60" s="108" t="s">
        <v>39</v>
      </c>
      <c r="C60" s="108"/>
      <c r="D60" s="108"/>
    </row>
    <row r="61" spans="2:15" ht="19.5" customHeight="1" x14ac:dyDescent="0.35">
      <c r="B61" s="36"/>
      <c r="C61" s="36"/>
      <c r="D61" s="36"/>
      <c r="F61" s="54"/>
      <c r="G61" s="54"/>
      <c r="H61" s="54"/>
      <c r="I61" s="54"/>
      <c r="J61" s="54"/>
      <c r="K61" s="54"/>
      <c r="L61" s="54"/>
      <c r="M61" s="54"/>
      <c r="N61" s="54"/>
      <c r="O61" s="54"/>
    </row>
    <row r="62" spans="2:15" ht="13.5" customHeight="1" x14ac:dyDescent="0.35">
      <c r="B62" s="36"/>
      <c r="C62" s="36"/>
      <c r="D62" s="36"/>
    </row>
    <row r="63" spans="2:15" ht="13.5" customHeight="1" x14ac:dyDescent="0.35"/>
    <row r="64" spans="2:15" ht="13.5" customHeight="1" x14ac:dyDescent="0.35"/>
  </sheetData>
  <sortState xmlns:xlrd2="http://schemas.microsoft.com/office/spreadsheetml/2017/richdata2" ref="B20:B38">
    <sortCondition ref="B20:B38"/>
  </sortState>
  <mergeCells count="40">
    <mergeCell ref="B10:H10"/>
    <mergeCell ref="J6:L6"/>
    <mergeCell ref="J7:L7"/>
    <mergeCell ref="J8:L8"/>
    <mergeCell ref="B7:C7"/>
    <mergeCell ref="D7:E7"/>
    <mergeCell ref="F7:G7"/>
    <mergeCell ref="H7:I7"/>
    <mergeCell ref="B8:C8"/>
    <mergeCell ref="D8:E8"/>
    <mergeCell ref="F8:G8"/>
    <mergeCell ref="H8:I8"/>
    <mergeCell ref="B6:C6"/>
    <mergeCell ref="D6:E6"/>
    <mergeCell ref="F6:G6"/>
    <mergeCell ref="H6:I6"/>
    <mergeCell ref="B60:D60"/>
    <mergeCell ref="C11:D11"/>
    <mergeCell ref="E11:F11"/>
    <mergeCell ref="B41:D41"/>
    <mergeCell ref="B17:O17"/>
    <mergeCell ref="B18:B19"/>
    <mergeCell ref="N18:O18"/>
    <mergeCell ref="L18:M18"/>
    <mergeCell ref="C18:D18"/>
    <mergeCell ref="E18:F18"/>
    <mergeCell ref="G18:H18"/>
    <mergeCell ref="I18:J18"/>
    <mergeCell ref="G11:H11"/>
    <mergeCell ref="B5:C5"/>
    <mergeCell ref="D5:E5"/>
    <mergeCell ref="F5:G5"/>
    <mergeCell ref="H5:I5"/>
    <mergeCell ref="J5:L5"/>
    <mergeCell ref="B2:O2"/>
    <mergeCell ref="B4:C4"/>
    <mergeCell ref="D4:E4"/>
    <mergeCell ref="F4:G4"/>
    <mergeCell ref="H4:I4"/>
    <mergeCell ref="J4:L4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58"/>
  <sheetViews>
    <sheetView zoomScaleNormal="100" workbookViewId="0">
      <pane ySplit="1" topLeftCell="A80" activePane="bottomLeft" state="frozen"/>
      <selection pane="bottomLeft" activeCell="H92" sqref="H92"/>
    </sheetView>
  </sheetViews>
  <sheetFormatPr defaultColWidth="8.6328125" defaultRowHeight="14.5" x14ac:dyDescent="0.35"/>
  <cols>
    <col min="1" max="1" width="5.453125" customWidth="1"/>
    <col min="2" max="2" width="11.54296875" style="55" customWidth="1"/>
    <col min="3" max="3" width="36.6328125" style="52" customWidth="1"/>
    <col min="4" max="4" width="18.81640625" customWidth="1"/>
    <col min="5" max="5" width="6.7265625" style="51" customWidth="1"/>
    <col min="6" max="7" width="13.7265625" style="51" customWidth="1"/>
    <col min="8" max="8" width="5.1796875" customWidth="1"/>
    <col min="9" max="9" width="12" style="51" customWidth="1"/>
  </cols>
  <sheetData>
    <row r="1" spans="1:11" ht="14.25" customHeight="1" thickTop="1" thickBot="1" x14ac:dyDescent="0.4">
      <c r="A1" s="66" t="s">
        <v>44</v>
      </c>
      <c r="B1" s="77" t="s">
        <v>45</v>
      </c>
      <c r="C1" s="68" t="s">
        <v>46</v>
      </c>
      <c r="D1" s="66" t="s">
        <v>47</v>
      </c>
      <c r="E1" s="67" t="s">
        <v>48</v>
      </c>
      <c r="F1" s="67" t="s">
        <v>49</v>
      </c>
      <c r="G1" s="67" t="s">
        <v>50</v>
      </c>
      <c r="H1" s="66" t="s">
        <v>8</v>
      </c>
      <c r="I1" s="67" t="s">
        <v>13</v>
      </c>
    </row>
    <row r="2" spans="1:11" ht="14.25" customHeight="1" thickTop="1" x14ac:dyDescent="0.35">
      <c r="A2" s="59">
        <v>1</v>
      </c>
      <c r="B2" s="78">
        <v>21061</v>
      </c>
      <c r="C2" s="58" t="s">
        <v>51</v>
      </c>
      <c r="D2" s="59" t="s">
        <v>19</v>
      </c>
      <c r="E2" s="57">
        <v>4383</v>
      </c>
      <c r="F2" s="57">
        <v>2024</v>
      </c>
      <c r="G2" s="57" t="s">
        <v>52</v>
      </c>
      <c r="H2" s="59" t="s">
        <v>53</v>
      </c>
      <c r="I2" s="57" t="str">
        <f t="shared" ref="I2:I65" ca="1" si="0">IF(B2="","",IF(G2="-","Not Retired",IF(G2&lt;YEAR(NOW()),"Retired","Not Retired")))</f>
        <v>Not Retired</v>
      </c>
      <c r="K2" s="51"/>
    </row>
    <row r="3" spans="1:11" ht="14.25" customHeight="1" x14ac:dyDescent="0.35">
      <c r="A3" s="62">
        <f t="shared" ref="A3:A66" si="1">+A2+1</f>
        <v>2</v>
      </c>
      <c r="B3" s="79">
        <v>21063</v>
      </c>
      <c r="C3" s="61" t="s">
        <v>54</v>
      </c>
      <c r="D3" s="62" t="s">
        <v>19</v>
      </c>
      <c r="E3" s="60">
        <v>3455</v>
      </c>
      <c r="F3" s="60">
        <v>2025</v>
      </c>
      <c r="G3" s="60" t="s">
        <v>52</v>
      </c>
      <c r="H3" s="62" t="s">
        <v>53</v>
      </c>
      <c r="I3" s="60" t="str">
        <f t="shared" ca="1" si="0"/>
        <v>Not Retired</v>
      </c>
    </row>
    <row r="4" spans="1:11" ht="14.25" customHeight="1" x14ac:dyDescent="0.35">
      <c r="A4" s="62">
        <f t="shared" si="1"/>
        <v>3</v>
      </c>
      <c r="B4" s="79">
        <v>21060</v>
      </c>
      <c r="C4" s="61" t="s">
        <v>55</v>
      </c>
      <c r="D4" s="62" t="s">
        <v>19</v>
      </c>
      <c r="E4" s="60">
        <v>2125</v>
      </c>
      <c r="F4" s="60">
        <v>2023</v>
      </c>
      <c r="G4" s="60">
        <v>2026</v>
      </c>
      <c r="H4" s="62" t="s">
        <v>53</v>
      </c>
      <c r="I4" s="60" t="str">
        <f t="shared" ca="1" si="0"/>
        <v>Not Retired</v>
      </c>
      <c r="K4" s="51"/>
    </row>
    <row r="5" spans="1:11" ht="14.25" customHeight="1" x14ac:dyDescent="0.35">
      <c r="A5" s="62">
        <f t="shared" si="1"/>
        <v>4</v>
      </c>
      <c r="B5" s="79">
        <v>21042</v>
      </c>
      <c r="C5" s="61" t="s">
        <v>56</v>
      </c>
      <c r="D5" s="62" t="s">
        <v>19</v>
      </c>
      <c r="E5" s="60">
        <v>1685</v>
      </c>
      <c r="F5" s="60">
        <v>2018</v>
      </c>
      <c r="G5" s="60">
        <v>2026</v>
      </c>
      <c r="H5" s="62" t="s">
        <v>57</v>
      </c>
      <c r="I5" s="60" t="str">
        <f t="shared" ca="1" si="0"/>
        <v>Not Retired</v>
      </c>
    </row>
    <row r="6" spans="1:11" ht="14.25" customHeight="1" x14ac:dyDescent="0.35">
      <c r="A6" s="62">
        <f t="shared" si="1"/>
        <v>5</v>
      </c>
      <c r="B6" s="79">
        <v>21029</v>
      </c>
      <c r="C6" s="61" t="s">
        <v>58</v>
      </c>
      <c r="D6" s="62" t="s">
        <v>19</v>
      </c>
      <c r="E6" s="60">
        <v>780</v>
      </c>
      <c r="F6" s="60">
        <v>2016</v>
      </c>
      <c r="G6" s="60">
        <v>2018</v>
      </c>
      <c r="H6" s="62" t="s">
        <v>57</v>
      </c>
      <c r="I6" s="60" t="str">
        <f t="shared" ca="1" si="0"/>
        <v>Retired</v>
      </c>
    </row>
    <row r="7" spans="1:11" ht="14.25" customHeight="1" x14ac:dyDescent="0.35">
      <c r="A7" s="62">
        <f t="shared" si="1"/>
        <v>6</v>
      </c>
      <c r="B7" s="79">
        <v>21024</v>
      </c>
      <c r="C7" s="61" t="s">
        <v>59</v>
      </c>
      <c r="D7" s="62" t="s">
        <v>19</v>
      </c>
      <c r="E7" s="60">
        <v>695</v>
      </c>
      <c r="F7" s="60">
        <v>2015</v>
      </c>
      <c r="G7" s="60">
        <v>2017</v>
      </c>
      <c r="H7" s="62" t="s">
        <v>57</v>
      </c>
      <c r="I7" s="60" t="str">
        <f t="shared" ca="1" si="0"/>
        <v>Retired</v>
      </c>
    </row>
    <row r="8" spans="1:11" ht="14.25" customHeight="1" x14ac:dyDescent="0.35">
      <c r="A8" s="62">
        <f t="shared" si="1"/>
        <v>7</v>
      </c>
      <c r="B8" s="79">
        <v>21028</v>
      </c>
      <c r="C8" s="61" t="s">
        <v>60</v>
      </c>
      <c r="D8" s="62" t="s">
        <v>19</v>
      </c>
      <c r="E8" s="60">
        <v>598</v>
      </c>
      <c r="F8" s="60">
        <v>2016</v>
      </c>
      <c r="G8" s="60">
        <v>2025</v>
      </c>
      <c r="H8" s="62" t="s">
        <v>57</v>
      </c>
      <c r="I8" s="60" t="str">
        <f t="shared" ca="1" si="0"/>
        <v>Retired</v>
      </c>
    </row>
    <row r="9" spans="1:11" ht="14.25" customHeight="1" x14ac:dyDescent="0.35">
      <c r="A9" s="62">
        <f t="shared" si="1"/>
        <v>8</v>
      </c>
      <c r="B9" s="79">
        <v>21006</v>
      </c>
      <c r="C9" s="61" t="s">
        <v>61</v>
      </c>
      <c r="D9" s="62" t="s">
        <v>19</v>
      </c>
      <c r="E9" s="60">
        <v>560</v>
      </c>
      <c r="F9" s="60">
        <v>2010</v>
      </c>
      <c r="G9" s="60">
        <v>2011</v>
      </c>
      <c r="H9" s="62" t="s">
        <v>57</v>
      </c>
      <c r="I9" s="60" t="str">
        <f t="shared" ca="1" si="0"/>
        <v>Retired</v>
      </c>
    </row>
    <row r="10" spans="1:11" ht="14.25" customHeight="1" x14ac:dyDescent="0.35">
      <c r="A10" s="62">
        <f t="shared" si="1"/>
        <v>9</v>
      </c>
      <c r="B10" s="79">
        <v>21023</v>
      </c>
      <c r="C10" s="61" t="s">
        <v>62</v>
      </c>
      <c r="D10" s="62" t="s">
        <v>19</v>
      </c>
      <c r="E10" s="60">
        <v>471</v>
      </c>
      <c r="F10" s="60">
        <v>2015</v>
      </c>
      <c r="G10" s="60">
        <v>2016</v>
      </c>
      <c r="H10" s="62" t="s">
        <v>57</v>
      </c>
      <c r="I10" s="60" t="str">
        <f t="shared" ca="1" si="0"/>
        <v>Retired</v>
      </c>
    </row>
    <row r="11" spans="1:11" ht="14.25" customHeight="1" x14ac:dyDescent="0.35">
      <c r="A11" s="62">
        <f t="shared" si="1"/>
        <v>10</v>
      </c>
      <c r="B11" s="79">
        <v>21034</v>
      </c>
      <c r="C11" s="61" t="s">
        <v>63</v>
      </c>
      <c r="D11" s="62" t="s">
        <v>19</v>
      </c>
      <c r="E11" s="60">
        <v>468</v>
      </c>
      <c r="F11" s="60">
        <v>2017</v>
      </c>
      <c r="G11" s="60" t="s">
        <v>52</v>
      </c>
      <c r="H11" s="62" t="s">
        <v>53</v>
      </c>
      <c r="I11" s="60" t="str">
        <f t="shared" ca="1" si="0"/>
        <v>Not Retired</v>
      </c>
    </row>
    <row r="12" spans="1:11" ht="14.25" customHeight="1" x14ac:dyDescent="0.35">
      <c r="A12" s="62">
        <f t="shared" si="1"/>
        <v>11</v>
      </c>
      <c r="B12" s="79">
        <v>21011</v>
      </c>
      <c r="C12" s="61" t="s">
        <v>64</v>
      </c>
      <c r="D12" s="62" t="s">
        <v>19</v>
      </c>
      <c r="E12" s="60">
        <v>363</v>
      </c>
      <c r="F12" s="60">
        <v>2011</v>
      </c>
      <c r="G12" s="60">
        <v>2015</v>
      </c>
      <c r="H12" s="62" t="s">
        <v>57</v>
      </c>
      <c r="I12" s="60" t="str">
        <f t="shared" ca="1" si="0"/>
        <v>Retired</v>
      </c>
    </row>
    <row r="13" spans="1:11" ht="14.25" customHeight="1" x14ac:dyDescent="0.35">
      <c r="A13" s="62">
        <f t="shared" si="1"/>
        <v>12</v>
      </c>
      <c r="B13" s="79">
        <v>21013</v>
      </c>
      <c r="C13" s="61" t="s">
        <v>65</v>
      </c>
      <c r="D13" s="62" t="s">
        <v>19</v>
      </c>
      <c r="E13" s="60">
        <v>346</v>
      </c>
      <c r="F13" s="60">
        <v>2012</v>
      </c>
      <c r="G13" s="60">
        <v>2016</v>
      </c>
      <c r="H13" s="62" t="s">
        <v>57</v>
      </c>
      <c r="I13" s="60" t="str">
        <f t="shared" ca="1" si="0"/>
        <v>Retired</v>
      </c>
    </row>
    <row r="14" spans="1:11" ht="14.25" customHeight="1" x14ac:dyDescent="0.35">
      <c r="A14" s="62">
        <f t="shared" si="1"/>
        <v>13</v>
      </c>
      <c r="B14" s="79">
        <v>21015</v>
      </c>
      <c r="C14" s="61" t="s">
        <v>66</v>
      </c>
      <c r="D14" s="62" t="s">
        <v>19</v>
      </c>
      <c r="E14" s="60">
        <v>345</v>
      </c>
      <c r="F14" s="60">
        <v>2013</v>
      </c>
      <c r="G14" s="60">
        <v>2015</v>
      </c>
      <c r="H14" s="62" t="s">
        <v>57</v>
      </c>
      <c r="I14" s="60" t="str">
        <f t="shared" ca="1" si="0"/>
        <v>Retired</v>
      </c>
    </row>
    <row r="15" spans="1:11" ht="14.25" customHeight="1" x14ac:dyDescent="0.35">
      <c r="A15" s="62">
        <f t="shared" si="1"/>
        <v>14</v>
      </c>
      <c r="B15" s="79">
        <v>21055</v>
      </c>
      <c r="C15" s="61" t="s">
        <v>67</v>
      </c>
      <c r="D15" s="62" t="s">
        <v>19</v>
      </c>
      <c r="E15" s="60">
        <v>333</v>
      </c>
      <c r="F15" s="60">
        <v>2019</v>
      </c>
      <c r="G15" s="60">
        <v>2022</v>
      </c>
      <c r="H15" s="62" t="s">
        <v>57</v>
      </c>
      <c r="I15" s="60" t="str">
        <f t="shared" ca="1" si="0"/>
        <v>Retired</v>
      </c>
    </row>
    <row r="16" spans="1:11" ht="14.25" customHeight="1" x14ac:dyDescent="0.35">
      <c r="A16" s="62">
        <f t="shared" si="1"/>
        <v>15</v>
      </c>
      <c r="B16" s="79">
        <v>21019</v>
      </c>
      <c r="C16" s="61" t="s">
        <v>68</v>
      </c>
      <c r="D16" s="62" t="s">
        <v>19</v>
      </c>
      <c r="E16" s="60">
        <v>321</v>
      </c>
      <c r="F16" s="60">
        <v>2014</v>
      </c>
      <c r="G16" s="60">
        <v>2018</v>
      </c>
      <c r="H16" s="62" t="s">
        <v>57</v>
      </c>
      <c r="I16" s="60" t="str">
        <f t="shared" ca="1" si="0"/>
        <v>Retired</v>
      </c>
    </row>
    <row r="17" spans="1:9" ht="14.25" customHeight="1" x14ac:dyDescent="0.35">
      <c r="A17" s="62">
        <f t="shared" si="1"/>
        <v>16</v>
      </c>
      <c r="B17" s="79">
        <v>21027</v>
      </c>
      <c r="C17" s="61" t="s">
        <v>69</v>
      </c>
      <c r="D17" s="62" t="s">
        <v>19</v>
      </c>
      <c r="E17" s="60">
        <v>289</v>
      </c>
      <c r="F17" s="60">
        <v>2016</v>
      </c>
      <c r="G17" s="60">
        <v>2017</v>
      </c>
      <c r="H17" s="62" t="s">
        <v>57</v>
      </c>
      <c r="I17" s="60" t="str">
        <f t="shared" ca="1" si="0"/>
        <v>Retired</v>
      </c>
    </row>
    <row r="18" spans="1:9" ht="14.25" customHeight="1" x14ac:dyDescent="0.35">
      <c r="A18" s="62">
        <f t="shared" si="1"/>
        <v>17</v>
      </c>
      <c r="B18" s="79">
        <v>21022</v>
      </c>
      <c r="C18" s="61" t="s">
        <v>70</v>
      </c>
      <c r="D18" s="62" t="s">
        <v>19</v>
      </c>
      <c r="E18" s="60">
        <v>274</v>
      </c>
      <c r="F18" s="60">
        <v>2015</v>
      </c>
      <c r="G18" s="60">
        <v>2016</v>
      </c>
      <c r="H18" s="62" t="s">
        <v>57</v>
      </c>
      <c r="I18" s="60" t="str">
        <f t="shared" ca="1" si="0"/>
        <v>Retired</v>
      </c>
    </row>
    <row r="19" spans="1:9" ht="14.25" customHeight="1" x14ac:dyDescent="0.35">
      <c r="A19" s="62">
        <f t="shared" si="1"/>
        <v>18</v>
      </c>
      <c r="B19" s="79">
        <v>21026</v>
      </c>
      <c r="C19" s="61" t="s">
        <v>71</v>
      </c>
      <c r="D19" s="62" t="s">
        <v>19</v>
      </c>
      <c r="E19" s="60">
        <v>212</v>
      </c>
      <c r="F19" s="60">
        <v>2016</v>
      </c>
      <c r="G19" s="60">
        <v>2017</v>
      </c>
      <c r="H19" s="62" t="s">
        <v>57</v>
      </c>
      <c r="I19" s="60" t="str">
        <f t="shared" ca="1" si="0"/>
        <v>Retired</v>
      </c>
    </row>
    <row r="20" spans="1:9" ht="14.25" customHeight="1" x14ac:dyDescent="0.35">
      <c r="A20" s="62">
        <f t="shared" si="1"/>
        <v>19</v>
      </c>
      <c r="B20" s="79">
        <v>10281</v>
      </c>
      <c r="C20" s="61" t="s">
        <v>72</v>
      </c>
      <c r="D20" s="62" t="s">
        <v>32</v>
      </c>
      <c r="E20" s="60">
        <v>878</v>
      </c>
      <c r="F20" s="60">
        <v>2021</v>
      </c>
      <c r="G20" s="60" t="s">
        <v>52</v>
      </c>
      <c r="H20" s="62" t="s">
        <v>57</v>
      </c>
      <c r="I20" s="60" t="str">
        <f t="shared" ca="1" si="0"/>
        <v>Not Retired</v>
      </c>
    </row>
    <row r="21" spans="1:9" ht="14.25" customHeight="1" x14ac:dyDescent="0.35">
      <c r="A21" s="62">
        <f t="shared" si="1"/>
        <v>20</v>
      </c>
      <c r="B21" s="79">
        <v>31382</v>
      </c>
      <c r="C21" s="61" t="s">
        <v>73</v>
      </c>
      <c r="D21" s="62" t="s">
        <v>34</v>
      </c>
      <c r="E21" s="60">
        <v>336</v>
      </c>
      <c r="F21" s="60">
        <v>2026</v>
      </c>
      <c r="G21" s="60" t="s">
        <v>52</v>
      </c>
      <c r="H21" s="62" t="s">
        <v>53</v>
      </c>
      <c r="I21" s="60" t="str">
        <f t="shared" ca="1" si="0"/>
        <v>Not Retired</v>
      </c>
    </row>
    <row r="22" spans="1:9" ht="14.25" customHeight="1" x14ac:dyDescent="0.35">
      <c r="A22" s="62">
        <f t="shared" si="1"/>
        <v>21</v>
      </c>
      <c r="B22" s="79">
        <v>10214</v>
      </c>
      <c r="C22" s="61" t="s">
        <v>74</v>
      </c>
      <c r="D22" s="62" t="s">
        <v>25</v>
      </c>
      <c r="E22" s="60">
        <v>4287</v>
      </c>
      <c r="F22" s="60">
        <v>2010</v>
      </c>
      <c r="G22" s="60">
        <v>2012</v>
      </c>
      <c r="H22" s="62" t="s">
        <v>57</v>
      </c>
      <c r="I22" s="60" t="str">
        <f t="shared" ca="1" si="0"/>
        <v>Retired</v>
      </c>
    </row>
    <row r="23" spans="1:9" ht="14.25" customHeight="1" x14ac:dyDescent="0.35">
      <c r="A23" s="62">
        <f t="shared" si="1"/>
        <v>22</v>
      </c>
      <c r="B23" s="79">
        <v>10253</v>
      </c>
      <c r="C23" s="61" t="s">
        <v>65</v>
      </c>
      <c r="D23" s="62" t="s">
        <v>25</v>
      </c>
      <c r="E23" s="60">
        <v>4163</v>
      </c>
      <c r="F23" s="60">
        <v>2016</v>
      </c>
      <c r="G23" s="60">
        <v>2018</v>
      </c>
      <c r="H23" s="62" t="s">
        <v>57</v>
      </c>
      <c r="I23" s="60" t="str">
        <f t="shared" ca="1" si="0"/>
        <v>Retired</v>
      </c>
    </row>
    <row r="24" spans="1:9" ht="14.25" customHeight="1" x14ac:dyDescent="0.35">
      <c r="A24" s="62">
        <f t="shared" si="1"/>
        <v>23</v>
      </c>
      <c r="B24" s="79">
        <v>10234</v>
      </c>
      <c r="C24" s="61" t="s">
        <v>75</v>
      </c>
      <c r="D24" s="62" t="s">
        <v>25</v>
      </c>
      <c r="E24" s="60">
        <v>2989</v>
      </c>
      <c r="F24" s="60">
        <v>2013</v>
      </c>
      <c r="G24" s="60">
        <v>2016</v>
      </c>
      <c r="H24" s="62" t="s">
        <v>57</v>
      </c>
      <c r="I24" s="60" t="str">
        <f t="shared" ca="1" si="0"/>
        <v>Retired</v>
      </c>
    </row>
    <row r="25" spans="1:9" ht="14.25" customHeight="1" x14ac:dyDescent="0.35">
      <c r="A25" s="62">
        <f t="shared" si="1"/>
        <v>24</v>
      </c>
      <c r="B25" s="79">
        <v>10307</v>
      </c>
      <c r="C25" s="61" t="s">
        <v>76</v>
      </c>
      <c r="D25" s="62" t="s">
        <v>20</v>
      </c>
      <c r="E25" s="60">
        <v>10001</v>
      </c>
      <c r="F25" s="60">
        <v>2022</v>
      </c>
      <c r="G25" s="60">
        <v>2026</v>
      </c>
      <c r="H25" s="62" t="s">
        <v>53</v>
      </c>
      <c r="I25" s="60" t="str">
        <f t="shared" ca="1" si="0"/>
        <v>Not Retired</v>
      </c>
    </row>
    <row r="26" spans="1:9" ht="14.25" customHeight="1" x14ac:dyDescent="0.35">
      <c r="A26" s="62">
        <f t="shared" si="1"/>
        <v>25</v>
      </c>
      <c r="B26" s="79">
        <v>10294</v>
      </c>
      <c r="C26" s="61" t="s">
        <v>77</v>
      </c>
      <c r="D26" s="62" t="s">
        <v>20</v>
      </c>
      <c r="E26" s="60">
        <v>9090</v>
      </c>
      <c r="F26" s="60">
        <v>2021</v>
      </c>
      <c r="G26" s="60" t="s">
        <v>52</v>
      </c>
      <c r="H26" s="62" t="s">
        <v>57</v>
      </c>
      <c r="I26" s="60" t="str">
        <f t="shared" ca="1" si="0"/>
        <v>Not Retired</v>
      </c>
    </row>
    <row r="27" spans="1:9" ht="14.25" customHeight="1" x14ac:dyDescent="0.35">
      <c r="A27" s="62">
        <f t="shared" si="1"/>
        <v>26</v>
      </c>
      <c r="B27" s="79">
        <v>10335</v>
      </c>
      <c r="C27" s="61" t="s">
        <v>78</v>
      </c>
      <c r="D27" s="62" t="s">
        <v>20</v>
      </c>
      <c r="E27" s="60">
        <v>3011</v>
      </c>
      <c r="F27" s="60">
        <v>2024</v>
      </c>
      <c r="G27" s="60">
        <v>2026</v>
      </c>
      <c r="H27" s="62" t="s">
        <v>53</v>
      </c>
      <c r="I27" s="60" t="str">
        <f t="shared" ca="1" si="0"/>
        <v>Not Retired</v>
      </c>
    </row>
    <row r="28" spans="1:9" ht="14.25" customHeight="1" x14ac:dyDescent="0.35">
      <c r="A28" s="62">
        <f t="shared" si="1"/>
        <v>27</v>
      </c>
      <c r="B28" s="79">
        <v>10317</v>
      </c>
      <c r="C28" s="61" t="s">
        <v>79</v>
      </c>
      <c r="D28" s="62" t="s">
        <v>20</v>
      </c>
      <c r="E28" s="60">
        <v>2336</v>
      </c>
      <c r="F28" s="60">
        <v>2023</v>
      </c>
      <c r="G28" s="60">
        <v>2025</v>
      </c>
      <c r="H28" s="62" t="s">
        <v>57</v>
      </c>
      <c r="I28" s="60" t="str">
        <f t="shared" ca="1" si="0"/>
        <v>Retired</v>
      </c>
    </row>
    <row r="29" spans="1:9" ht="14.25" customHeight="1" x14ac:dyDescent="0.35">
      <c r="A29" s="62">
        <f t="shared" si="1"/>
        <v>28</v>
      </c>
      <c r="B29" s="79">
        <v>11384</v>
      </c>
      <c r="C29" s="61" t="s">
        <v>80</v>
      </c>
      <c r="D29" s="62" t="s">
        <v>20</v>
      </c>
      <c r="E29" s="60">
        <v>2102</v>
      </c>
      <c r="F29" s="60">
        <v>2026</v>
      </c>
      <c r="G29" s="60" t="s">
        <v>52</v>
      </c>
      <c r="H29" s="62" t="s">
        <v>53</v>
      </c>
      <c r="I29" s="60" t="str">
        <f t="shared" ca="1" si="0"/>
        <v>Not Retired</v>
      </c>
    </row>
    <row r="30" spans="1:9" ht="14.25" customHeight="1" x14ac:dyDescent="0.35">
      <c r="A30" s="62">
        <f t="shared" si="1"/>
        <v>29</v>
      </c>
      <c r="B30" s="79">
        <v>10318</v>
      </c>
      <c r="C30" s="61" t="s">
        <v>81</v>
      </c>
      <c r="D30" s="62" t="s">
        <v>20</v>
      </c>
      <c r="E30" s="60">
        <v>2083</v>
      </c>
      <c r="F30" s="60">
        <v>2023</v>
      </c>
      <c r="G30" s="60">
        <v>2026</v>
      </c>
      <c r="H30" s="62" t="s">
        <v>57</v>
      </c>
      <c r="I30" s="60" t="str">
        <f t="shared" ca="1" si="0"/>
        <v>Not Retired</v>
      </c>
    </row>
    <row r="31" spans="1:9" ht="14.25" customHeight="1" x14ac:dyDescent="0.35">
      <c r="A31" s="62">
        <f t="shared" si="1"/>
        <v>30</v>
      </c>
      <c r="B31" s="79">
        <v>10292</v>
      </c>
      <c r="C31" s="61" t="s">
        <v>82</v>
      </c>
      <c r="D31" s="62" t="s">
        <v>20</v>
      </c>
      <c r="E31" s="60">
        <v>2048</v>
      </c>
      <c r="F31" s="60">
        <v>2021</v>
      </c>
      <c r="G31" s="60">
        <v>2023</v>
      </c>
      <c r="H31" s="62" t="s">
        <v>57</v>
      </c>
      <c r="I31" s="60" t="str">
        <f t="shared" ca="1" si="0"/>
        <v>Retired</v>
      </c>
    </row>
    <row r="32" spans="1:9" ht="14.25" customHeight="1" x14ac:dyDescent="0.35">
      <c r="A32" s="62">
        <f t="shared" si="1"/>
        <v>31</v>
      </c>
      <c r="B32" s="79">
        <v>10300</v>
      </c>
      <c r="C32" s="61" t="s">
        <v>83</v>
      </c>
      <c r="D32" s="62" t="s">
        <v>20</v>
      </c>
      <c r="E32" s="60">
        <v>1872</v>
      </c>
      <c r="F32" s="60">
        <v>2022</v>
      </c>
      <c r="G32" s="60">
        <v>2026</v>
      </c>
      <c r="H32" s="62" t="s">
        <v>53</v>
      </c>
      <c r="I32" s="60" t="str">
        <f t="shared" ca="1" si="0"/>
        <v>Not Retired</v>
      </c>
    </row>
    <row r="33" spans="1:9" ht="14.25" customHeight="1" x14ac:dyDescent="0.35">
      <c r="A33" s="62">
        <f t="shared" si="1"/>
        <v>32</v>
      </c>
      <c r="B33" s="79">
        <v>10334</v>
      </c>
      <c r="C33" s="61" t="s">
        <v>84</v>
      </c>
      <c r="D33" s="62" t="s">
        <v>20</v>
      </c>
      <c r="E33" s="60">
        <v>906</v>
      </c>
      <c r="F33" s="60">
        <v>2024</v>
      </c>
      <c r="G33" s="60">
        <v>2026</v>
      </c>
      <c r="H33" s="62" t="s">
        <v>53</v>
      </c>
      <c r="I33" s="60" t="str">
        <f t="shared" ca="1" si="0"/>
        <v>Not Retired</v>
      </c>
    </row>
    <row r="34" spans="1:9" ht="14.25" customHeight="1" x14ac:dyDescent="0.35">
      <c r="A34" s="62">
        <f t="shared" si="1"/>
        <v>33</v>
      </c>
      <c r="B34" s="79">
        <v>10353</v>
      </c>
      <c r="C34" s="61" t="s">
        <v>85</v>
      </c>
      <c r="D34" s="62" t="s">
        <v>20</v>
      </c>
      <c r="E34" s="60">
        <v>799</v>
      </c>
      <c r="F34" s="60">
        <v>2025</v>
      </c>
      <c r="G34" s="60" t="s">
        <v>52</v>
      </c>
      <c r="H34" s="62" t="s">
        <v>57</v>
      </c>
      <c r="I34" s="60" t="str">
        <f t="shared" ca="1" si="0"/>
        <v>Not Retired</v>
      </c>
    </row>
    <row r="35" spans="1:9" ht="14.25" customHeight="1" x14ac:dyDescent="0.35">
      <c r="A35" s="62">
        <f t="shared" si="1"/>
        <v>34</v>
      </c>
      <c r="B35" s="79">
        <v>10330</v>
      </c>
      <c r="C35" s="61" t="s">
        <v>86</v>
      </c>
      <c r="D35" s="62" t="s">
        <v>20</v>
      </c>
      <c r="E35" s="60">
        <v>693</v>
      </c>
      <c r="F35" s="60">
        <v>2024</v>
      </c>
      <c r="G35" s="60" t="s">
        <v>52</v>
      </c>
      <c r="H35" s="62" t="s">
        <v>57</v>
      </c>
      <c r="I35" s="60" t="str">
        <f t="shared" ca="1" si="0"/>
        <v>Not Retired</v>
      </c>
    </row>
    <row r="36" spans="1:9" ht="14.25" customHeight="1" x14ac:dyDescent="0.35">
      <c r="A36" s="62">
        <f t="shared" si="1"/>
        <v>35</v>
      </c>
      <c r="B36" s="79">
        <v>21327</v>
      </c>
      <c r="C36" s="61" t="s">
        <v>87</v>
      </c>
      <c r="D36" s="62" t="s">
        <v>21</v>
      </c>
      <c r="E36" s="60">
        <v>2079</v>
      </c>
      <c r="F36" s="60">
        <v>2021</v>
      </c>
      <c r="G36" s="60">
        <v>2024</v>
      </c>
      <c r="H36" s="62" t="s">
        <v>57</v>
      </c>
      <c r="I36" s="60" t="str">
        <f t="shared" ca="1" si="0"/>
        <v>Retired</v>
      </c>
    </row>
    <row r="37" spans="1:9" ht="14.25" customHeight="1" x14ac:dyDescent="0.35">
      <c r="A37" s="62">
        <f t="shared" si="1"/>
        <v>36</v>
      </c>
      <c r="B37" s="79">
        <v>21349</v>
      </c>
      <c r="C37" s="61" t="s">
        <v>88</v>
      </c>
      <c r="D37" s="62" t="s">
        <v>21</v>
      </c>
      <c r="E37" s="60">
        <v>1710</v>
      </c>
      <c r="F37" s="60">
        <v>2024</v>
      </c>
      <c r="G37" s="60" t="s">
        <v>52</v>
      </c>
      <c r="H37" s="62" t="s">
        <v>57</v>
      </c>
      <c r="I37" s="60" t="str">
        <f t="shared" ca="1" si="0"/>
        <v>Not Retired</v>
      </c>
    </row>
    <row r="38" spans="1:9" ht="14.25" customHeight="1" x14ac:dyDescent="0.35">
      <c r="A38" s="62">
        <f t="shared" si="1"/>
        <v>37</v>
      </c>
      <c r="B38" s="79">
        <v>21347</v>
      </c>
      <c r="C38" s="61" t="s">
        <v>89</v>
      </c>
      <c r="D38" s="62" t="s">
        <v>21</v>
      </c>
      <c r="E38" s="60">
        <v>1460</v>
      </c>
      <c r="F38" s="60">
        <v>2024</v>
      </c>
      <c r="G38" s="60">
        <v>2025</v>
      </c>
      <c r="H38" s="62" t="s">
        <v>57</v>
      </c>
      <c r="I38" s="60" t="str">
        <f t="shared" ca="1" si="0"/>
        <v>Retired</v>
      </c>
    </row>
    <row r="39" spans="1:9" ht="14.25" customHeight="1" x14ac:dyDescent="0.35">
      <c r="A39" s="62">
        <f t="shared" si="1"/>
        <v>38</v>
      </c>
      <c r="B39" s="79">
        <v>21328</v>
      </c>
      <c r="C39" s="61" t="s">
        <v>90</v>
      </c>
      <c r="D39" s="62" t="s">
        <v>21</v>
      </c>
      <c r="E39" s="60">
        <v>1326</v>
      </c>
      <c r="F39" s="60">
        <v>2021</v>
      </c>
      <c r="G39" s="60">
        <v>2022</v>
      </c>
      <c r="H39" s="62" t="s">
        <v>57</v>
      </c>
      <c r="I39" s="60" t="str">
        <f t="shared" ca="1" si="0"/>
        <v>Retired</v>
      </c>
    </row>
    <row r="40" spans="1:9" ht="14.25" customHeight="1" x14ac:dyDescent="0.35">
      <c r="A40" s="62">
        <f t="shared" si="1"/>
        <v>39</v>
      </c>
      <c r="B40" s="79">
        <v>21361</v>
      </c>
      <c r="C40" s="61" t="s">
        <v>91</v>
      </c>
      <c r="D40" s="62" t="s">
        <v>21</v>
      </c>
      <c r="E40" s="60">
        <v>1125</v>
      </c>
      <c r="F40" s="60">
        <v>2025</v>
      </c>
      <c r="G40" s="60" t="s">
        <v>52</v>
      </c>
      <c r="H40" s="62" t="s">
        <v>53</v>
      </c>
      <c r="I40" s="60" t="str">
        <f t="shared" ca="1" si="0"/>
        <v>Not Retired</v>
      </c>
    </row>
    <row r="41" spans="1:9" ht="14.25" customHeight="1" x14ac:dyDescent="0.35">
      <c r="A41" s="62">
        <f t="shared" si="1"/>
        <v>40</v>
      </c>
      <c r="B41" s="79">
        <v>21319</v>
      </c>
      <c r="C41" s="61" t="s">
        <v>92</v>
      </c>
      <c r="D41" s="62" t="s">
        <v>21</v>
      </c>
      <c r="E41" s="60">
        <v>1070</v>
      </c>
      <c r="F41" s="60">
        <v>2019</v>
      </c>
      <c r="G41" s="60">
        <v>2022</v>
      </c>
      <c r="H41" s="62" t="s">
        <v>57</v>
      </c>
      <c r="I41" s="60" t="str">
        <f t="shared" ca="1" si="0"/>
        <v>Retired</v>
      </c>
    </row>
    <row r="42" spans="1:9" ht="14.25" customHeight="1" x14ac:dyDescent="0.35">
      <c r="A42" s="62">
        <f t="shared" si="1"/>
        <v>41</v>
      </c>
      <c r="B42" s="79">
        <v>21357</v>
      </c>
      <c r="C42" s="61" t="s">
        <v>93</v>
      </c>
      <c r="D42" s="62" t="s">
        <v>21</v>
      </c>
      <c r="E42" s="60">
        <v>613</v>
      </c>
      <c r="F42" s="60">
        <v>2025</v>
      </c>
      <c r="G42" s="60" t="s">
        <v>52</v>
      </c>
      <c r="H42" s="62" t="s">
        <v>57</v>
      </c>
      <c r="I42" s="60" t="str">
        <f t="shared" ca="1" si="0"/>
        <v>Not Retired</v>
      </c>
    </row>
    <row r="43" spans="1:9" ht="14.25" customHeight="1" x14ac:dyDescent="0.35">
      <c r="A43" s="62">
        <f t="shared" si="1"/>
        <v>42</v>
      </c>
      <c r="B43" s="79">
        <v>76968</v>
      </c>
      <c r="C43" s="61" t="s">
        <v>94</v>
      </c>
      <c r="D43" s="62" t="s">
        <v>31</v>
      </c>
      <c r="E43" s="60">
        <v>3145</v>
      </c>
      <c r="F43" s="60">
        <v>2025</v>
      </c>
      <c r="G43" s="60">
        <v>2026</v>
      </c>
      <c r="H43" s="62" t="s">
        <v>57</v>
      </c>
      <c r="I43" s="60" t="str">
        <f t="shared" ca="1" si="0"/>
        <v>Not Retired</v>
      </c>
    </row>
    <row r="44" spans="1:9" ht="14.25" customHeight="1" x14ac:dyDescent="0.35">
      <c r="A44" s="62">
        <f t="shared" si="1"/>
        <v>43</v>
      </c>
      <c r="B44" s="79">
        <v>76344</v>
      </c>
      <c r="C44" s="61" t="s">
        <v>95</v>
      </c>
      <c r="D44" s="62" t="s">
        <v>24</v>
      </c>
      <c r="E44" s="60">
        <v>1297</v>
      </c>
      <c r="F44" s="60">
        <v>2026</v>
      </c>
      <c r="G44" s="60" t="s">
        <v>52</v>
      </c>
      <c r="H44" s="62" t="s">
        <v>53</v>
      </c>
      <c r="I44" s="60" t="str">
        <f t="shared" ca="1" si="0"/>
        <v>Not Retired</v>
      </c>
    </row>
    <row r="45" spans="1:9" ht="14.25" customHeight="1" x14ac:dyDescent="0.35">
      <c r="A45" s="62">
        <f t="shared" si="1"/>
        <v>44</v>
      </c>
      <c r="B45" s="79">
        <v>40179</v>
      </c>
      <c r="C45" s="61" t="s">
        <v>96</v>
      </c>
      <c r="D45" s="62" t="s">
        <v>28</v>
      </c>
      <c r="E45" s="60">
        <v>4502</v>
      </c>
      <c r="F45" s="60">
        <v>2016</v>
      </c>
      <c r="G45" s="60" t="s">
        <v>52</v>
      </c>
      <c r="H45" s="62" t="s">
        <v>53</v>
      </c>
      <c r="I45" s="60" t="str">
        <f t="shared" ca="1" si="0"/>
        <v>Not Retired</v>
      </c>
    </row>
    <row r="46" spans="1:9" ht="14.25" customHeight="1" x14ac:dyDescent="0.35">
      <c r="A46" s="62">
        <f t="shared" si="1"/>
        <v>45</v>
      </c>
      <c r="B46" s="79">
        <v>41843</v>
      </c>
      <c r="C46" s="61" t="s">
        <v>97</v>
      </c>
      <c r="D46" s="62" t="s">
        <v>28</v>
      </c>
      <c r="E46" s="60">
        <v>3171</v>
      </c>
      <c r="F46" s="60">
        <v>2025</v>
      </c>
      <c r="G46" s="60">
        <v>2026</v>
      </c>
      <c r="H46" s="62" t="s">
        <v>53</v>
      </c>
      <c r="I46" s="60" t="str">
        <f t="shared" ca="1" si="0"/>
        <v>Not Retired</v>
      </c>
    </row>
    <row r="47" spans="1:9" ht="14.25" customHeight="1" x14ac:dyDescent="0.35">
      <c r="A47" s="62">
        <f t="shared" si="1"/>
        <v>46</v>
      </c>
      <c r="B47" s="79">
        <v>77256</v>
      </c>
      <c r="C47" s="61" t="s">
        <v>98</v>
      </c>
      <c r="D47" s="62" t="s">
        <v>22</v>
      </c>
      <c r="E47" s="60">
        <v>357</v>
      </c>
      <c r="F47" s="60">
        <v>2026</v>
      </c>
      <c r="G47" s="60" t="s">
        <v>52</v>
      </c>
      <c r="H47" s="62" t="s">
        <v>57</v>
      </c>
      <c r="I47" s="60" t="str">
        <f t="shared" ca="1" si="0"/>
        <v>Not Retired</v>
      </c>
    </row>
    <row r="48" spans="1:9" ht="14.25" customHeight="1" x14ac:dyDescent="0.35">
      <c r="A48" s="62">
        <f t="shared" si="1"/>
        <v>47</v>
      </c>
      <c r="B48" s="79">
        <v>77242</v>
      </c>
      <c r="C48" s="61" t="s">
        <v>99</v>
      </c>
      <c r="D48" s="62" t="s">
        <v>22</v>
      </c>
      <c r="E48" s="60">
        <v>275</v>
      </c>
      <c r="F48" s="60">
        <v>2025</v>
      </c>
      <c r="G48" s="60">
        <v>2026</v>
      </c>
      <c r="H48" s="62" t="s">
        <v>57</v>
      </c>
      <c r="I48" s="60" t="str">
        <f t="shared" ca="1" si="0"/>
        <v>Not Retired</v>
      </c>
    </row>
    <row r="49" spans="1:9" ht="14.25" customHeight="1" x14ac:dyDescent="0.35">
      <c r="A49" s="62">
        <f t="shared" si="1"/>
        <v>48</v>
      </c>
      <c r="B49" s="79">
        <v>75192</v>
      </c>
      <c r="C49" s="61" t="s">
        <v>100</v>
      </c>
      <c r="D49" s="62" t="s">
        <v>18</v>
      </c>
      <c r="E49" s="60">
        <v>7541</v>
      </c>
      <c r="F49" s="60">
        <v>2017</v>
      </c>
      <c r="G49" s="60">
        <v>2026</v>
      </c>
      <c r="H49" s="62" t="s">
        <v>53</v>
      </c>
      <c r="I49" s="60" t="str">
        <f t="shared" ca="1" si="0"/>
        <v>Not Retired</v>
      </c>
    </row>
    <row r="50" spans="1:9" ht="14.25" customHeight="1" x14ac:dyDescent="0.35">
      <c r="A50" s="62">
        <f t="shared" si="1"/>
        <v>49</v>
      </c>
      <c r="B50" s="79">
        <v>75371</v>
      </c>
      <c r="C50" s="61" t="s">
        <v>101</v>
      </c>
      <c r="D50" s="62" t="s">
        <v>18</v>
      </c>
      <c r="E50" s="60">
        <v>2319</v>
      </c>
      <c r="F50" s="60">
        <v>2023</v>
      </c>
      <c r="G50" s="60">
        <v>2024</v>
      </c>
      <c r="H50" s="62" t="s">
        <v>53</v>
      </c>
      <c r="I50" s="60" t="str">
        <f t="shared" ca="1" si="0"/>
        <v>Retired</v>
      </c>
    </row>
    <row r="51" spans="1:9" ht="14.25" customHeight="1" x14ac:dyDescent="0.35">
      <c r="A51" s="62">
        <f t="shared" si="1"/>
        <v>50</v>
      </c>
      <c r="B51" s="79">
        <v>75308</v>
      </c>
      <c r="C51" s="61" t="s">
        <v>179</v>
      </c>
      <c r="D51" s="62" t="s">
        <v>18</v>
      </c>
      <c r="E51" s="60">
        <v>2314</v>
      </c>
      <c r="F51" s="60">
        <v>2021</v>
      </c>
      <c r="G51" s="60">
        <v>2024</v>
      </c>
      <c r="H51" s="62" t="s">
        <v>57</v>
      </c>
      <c r="I51" s="60" t="str">
        <f t="shared" ca="1" si="0"/>
        <v>Retired</v>
      </c>
    </row>
    <row r="52" spans="1:9" ht="14.25" customHeight="1" x14ac:dyDescent="0.35">
      <c r="A52" s="62">
        <f t="shared" si="1"/>
        <v>51</v>
      </c>
      <c r="B52" s="79">
        <v>75382</v>
      </c>
      <c r="C52" s="61" t="s">
        <v>102</v>
      </c>
      <c r="D52" s="62" t="s">
        <v>18</v>
      </c>
      <c r="E52" s="60">
        <v>1931</v>
      </c>
      <c r="F52" s="60">
        <v>2024</v>
      </c>
      <c r="G52" s="60">
        <v>2026</v>
      </c>
      <c r="H52" s="62" t="s">
        <v>53</v>
      </c>
      <c r="I52" s="60" t="str">
        <f t="shared" ca="1" si="0"/>
        <v>Not Retired</v>
      </c>
    </row>
    <row r="53" spans="1:9" ht="14.25" customHeight="1" x14ac:dyDescent="0.35">
      <c r="A53" s="62">
        <f t="shared" si="1"/>
        <v>52</v>
      </c>
      <c r="B53" s="79">
        <v>75255</v>
      </c>
      <c r="C53" s="61" t="s">
        <v>103</v>
      </c>
      <c r="D53" s="62" t="s">
        <v>18</v>
      </c>
      <c r="E53" s="60">
        <v>1771</v>
      </c>
      <c r="F53" s="60">
        <v>2019</v>
      </c>
      <c r="G53" s="60">
        <v>2022</v>
      </c>
      <c r="H53" s="62" t="s">
        <v>57</v>
      </c>
      <c r="I53" s="60" t="str">
        <f t="shared" ca="1" si="0"/>
        <v>Retired</v>
      </c>
    </row>
    <row r="54" spans="1:9" ht="14.25" customHeight="1" x14ac:dyDescent="0.35">
      <c r="A54" s="62">
        <f t="shared" si="1"/>
        <v>53</v>
      </c>
      <c r="B54" s="79">
        <v>75105</v>
      </c>
      <c r="C54" s="61" t="s">
        <v>100</v>
      </c>
      <c r="D54" s="62" t="s">
        <v>18</v>
      </c>
      <c r="E54" s="60">
        <v>1329</v>
      </c>
      <c r="F54" s="60">
        <v>2015</v>
      </c>
      <c r="G54" s="60">
        <v>2017</v>
      </c>
      <c r="H54" s="62" t="s">
        <v>57</v>
      </c>
      <c r="I54" s="60" t="str">
        <f t="shared" ca="1" si="0"/>
        <v>Retired</v>
      </c>
    </row>
    <row r="55" spans="1:9" ht="14.25" customHeight="1" x14ac:dyDescent="0.35">
      <c r="A55" s="62">
        <f t="shared" si="1"/>
        <v>54</v>
      </c>
      <c r="B55" s="79">
        <v>75398</v>
      </c>
      <c r="C55" s="61" t="s">
        <v>104</v>
      </c>
      <c r="D55" s="62" t="s">
        <v>18</v>
      </c>
      <c r="E55" s="60">
        <v>1138</v>
      </c>
      <c r="F55" s="60">
        <v>2024</v>
      </c>
      <c r="G55" s="60" t="s">
        <v>52</v>
      </c>
      <c r="H55" s="62" t="s">
        <v>57</v>
      </c>
      <c r="I55" s="60" t="str">
        <f t="shared" ca="1" si="0"/>
        <v>Not Retired</v>
      </c>
    </row>
    <row r="56" spans="1:9" ht="14.25" customHeight="1" x14ac:dyDescent="0.35">
      <c r="A56" s="62">
        <f t="shared" si="1"/>
        <v>55</v>
      </c>
      <c r="B56" s="79">
        <v>75318</v>
      </c>
      <c r="C56" s="61" t="s">
        <v>105</v>
      </c>
      <c r="D56" s="62" t="s">
        <v>18</v>
      </c>
      <c r="E56" s="60">
        <v>1073</v>
      </c>
      <c r="F56" s="60">
        <v>2020</v>
      </c>
      <c r="G56" s="60">
        <v>2023</v>
      </c>
      <c r="H56" s="62" t="s">
        <v>57</v>
      </c>
      <c r="I56" s="60" t="str">
        <f t="shared" ca="1" si="0"/>
        <v>Retired</v>
      </c>
    </row>
    <row r="57" spans="1:9" ht="14.25" customHeight="1" x14ac:dyDescent="0.35">
      <c r="A57" s="62">
        <f t="shared" si="1"/>
        <v>56</v>
      </c>
      <c r="B57" s="79">
        <v>75403</v>
      </c>
      <c r="C57" s="61" t="s">
        <v>106</v>
      </c>
      <c r="D57" s="62" t="s">
        <v>18</v>
      </c>
      <c r="E57" s="60">
        <v>1048</v>
      </c>
      <c r="F57" s="60">
        <v>2025</v>
      </c>
      <c r="G57" s="60" t="s">
        <v>52</v>
      </c>
      <c r="H57" s="62" t="s">
        <v>53</v>
      </c>
      <c r="I57" s="60" t="str">
        <f t="shared" ca="1" si="0"/>
        <v>Not Retired</v>
      </c>
    </row>
    <row r="58" spans="1:9" ht="14.25" customHeight="1" x14ac:dyDescent="0.35">
      <c r="A58" s="62">
        <f t="shared" si="1"/>
        <v>57</v>
      </c>
      <c r="B58" s="79">
        <v>75430</v>
      </c>
      <c r="C58" s="61" t="s">
        <v>107</v>
      </c>
      <c r="D58" s="62" t="s">
        <v>18</v>
      </c>
      <c r="E58" s="60">
        <v>1010</v>
      </c>
      <c r="F58" s="60">
        <v>2025</v>
      </c>
      <c r="G58" s="60">
        <v>2026</v>
      </c>
      <c r="H58" s="62" t="s">
        <v>53</v>
      </c>
      <c r="I58" s="60" t="str">
        <f t="shared" ca="1" si="0"/>
        <v>Not Retired</v>
      </c>
    </row>
    <row r="59" spans="1:9" ht="14.25" customHeight="1" x14ac:dyDescent="0.35">
      <c r="A59" s="62">
        <f t="shared" si="1"/>
        <v>58</v>
      </c>
      <c r="B59" s="79">
        <v>75304</v>
      </c>
      <c r="C59" s="61" t="s">
        <v>108</v>
      </c>
      <c r="D59" s="62" t="s">
        <v>18</v>
      </c>
      <c r="E59" s="60">
        <v>834</v>
      </c>
      <c r="F59" s="60">
        <v>2021</v>
      </c>
      <c r="G59" s="60">
        <v>2025</v>
      </c>
      <c r="H59" s="62" t="s">
        <v>57</v>
      </c>
      <c r="I59" s="60" t="str">
        <f t="shared" ca="1" si="0"/>
        <v>Retired</v>
      </c>
    </row>
    <row r="60" spans="1:9" ht="14.25" customHeight="1" x14ac:dyDescent="0.35">
      <c r="A60" s="62">
        <f t="shared" si="1"/>
        <v>59</v>
      </c>
      <c r="B60" s="79">
        <v>75429</v>
      </c>
      <c r="C60" s="61" t="s">
        <v>109</v>
      </c>
      <c r="D60" s="62" t="s">
        <v>18</v>
      </c>
      <c r="E60" s="60">
        <v>730</v>
      </c>
      <c r="F60" s="60">
        <v>2025</v>
      </c>
      <c r="G60" s="60">
        <v>2026</v>
      </c>
      <c r="H60" s="62" t="s">
        <v>53</v>
      </c>
      <c r="I60" s="60" t="str">
        <f t="shared" ca="1" si="0"/>
        <v>Not Retired</v>
      </c>
    </row>
    <row r="61" spans="1:9" ht="14.25" customHeight="1" x14ac:dyDescent="0.35">
      <c r="A61" s="62">
        <f t="shared" si="1"/>
        <v>60</v>
      </c>
      <c r="B61" s="79">
        <v>75102</v>
      </c>
      <c r="C61" s="61" t="s">
        <v>110</v>
      </c>
      <c r="D61" s="62" t="s">
        <v>18</v>
      </c>
      <c r="E61" s="60">
        <v>717</v>
      </c>
      <c r="F61" s="60">
        <v>2015</v>
      </c>
      <c r="G61" s="60">
        <v>2018</v>
      </c>
      <c r="H61" s="62" t="s">
        <v>57</v>
      </c>
      <c r="I61" s="60" t="str">
        <f t="shared" ca="1" si="0"/>
        <v>Retired</v>
      </c>
    </row>
    <row r="62" spans="1:9" ht="14.25" customHeight="1" x14ac:dyDescent="0.35">
      <c r="A62" s="62">
        <f t="shared" si="1"/>
        <v>61</v>
      </c>
      <c r="B62" s="79">
        <v>75407</v>
      </c>
      <c r="C62" s="61" t="s">
        <v>111</v>
      </c>
      <c r="D62" s="62" t="s">
        <v>18</v>
      </c>
      <c r="E62" s="60">
        <v>700</v>
      </c>
      <c r="F62" s="60">
        <v>2025</v>
      </c>
      <c r="G62" s="60" t="s">
        <v>52</v>
      </c>
      <c r="H62" s="62" t="s">
        <v>57</v>
      </c>
      <c r="I62" s="60" t="str">
        <f t="shared" ca="1" si="0"/>
        <v>Not Retired</v>
      </c>
    </row>
    <row r="63" spans="1:9" ht="14.25" customHeight="1" x14ac:dyDescent="0.35">
      <c r="A63" s="62">
        <f t="shared" si="1"/>
        <v>62</v>
      </c>
      <c r="B63" s="79">
        <v>75276</v>
      </c>
      <c r="C63" s="61" t="s">
        <v>112</v>
      </c>
      <c r="D63" s="62" t="s">
        <v>18</v>
      </c>
      <c r="E63" s="60">
        <v>647</v>
      </c>
      <c r="F63" s="60">
        <v>2020</v>
      </c>
      <c r="G63" s="60">
        <v>2021</v>
      </c>
      <c r="H63" s="62" t="s">
        <v>57</v>
      </c>
      <c r="I63" s="60" t="str">
        <f t="shared" ca="1" si="0"/>
        <v>Retired</v>
      </c>
    </row>
    <row r="64" spans="1:9" ht="14.25" customHeight="1" x14ac:dyDescent="0.35">
      <c r="A64" s="62">
        <f t="shared" si="1"/>
        <v>63</v>
      </c>
      <c r="B64" s="79">
        <v>75277</v>
      </c>
      <c r="C64" s="61" t="s">
        <v>113</v>
      </c>
      <c r="D64" s="62" t="s">
        <v>18</v>
      </c>
      <c r="E64" s="60">
        <v>625</v>
      </c>
      <c r="F64" s="60">
        <v>2020</v>
      </c>
      <c r="G64" s="60">
        <v>2022</v>
      </c>
      <c r="H64" s="62" t="s">
        <v>53</v>
      </c>
      <c r="I64" s="60" t="str">
        <f t="shared" ca="1" si="0"/>
        <v>Retired</v>
      </c>
    </row>
    <row r="65" spans="1:9" ht="14.25" customHeight="1" x14ac:dyDescent="0.35">
      <c r="A65" s="62">
        <f t="shared" si="1"/>
        <v>64</v>
      </c>
      <c r="B65" s="79">
        <v>75328</v>
      </c>
      <c r="C65" s="61" t="s">
        <v>114</v>
      </c>
      <c r="D65" s="62" t="s">
        <v>18</v>
      </c>
      <c r="E65" s="60">
        <v>584</v>
      </c>
      <c r="F65" s="60">
        <v>2022</v>
      </c>
      <c r="G65" s="60">
        <v>2026</v>
      </c>
      <c r="H65" s="62" t="s">
        <v>57</v>
      </c>
      <c r="I65" s="60" t="str">
        <f t="shared" ca="1" si="0"/>
        <v>Not Retired</v>
      </c>
    </row>
    <row r="66" spans="1:9" ht="14.25" customHeight="1" x14ac:dyDescent="0.35">
      <c r="A66" s="62">
        <f t="shared" si="1"/>
        <v>65</v>
      </c>
      <c r="B66" s="79">
        <v>75452</v>
      </c>
      <c r="C66" s="61" t="s">
        <v>115</v>
      </c>
      <c r="D66" s="62" t="s">
        <v>18</v>
      </c>
      <c r="E66" s="60">
        <v>569</v>
      </c>
      <c r="F66" s="60">
        <v>2026</v>
      </c>
      <c r="G66" s="60" t="s">
        <v>52</v>
      </c>
      <c r="H66" s="62" t="s">
        <v>57</v>
      </c>
      <c r="I66" s="60" t="str">
        <f t="shared" ref="I66:I129" ca="1" si="2">IF(B66="","",IF(G66="-","Not Retired",IF(G66&lt;YEAR(NOW()),"Retired","Not Retired")))</f>
        <v>Not Retired</v>
      </c>
    </row>
    <row r="67" spans="1:9" ht="14.25" customHeight="1" x14ac:dyDescent="0.35">
      <c r="A67" s="62">
        <f t="shared" ref="A67:A130" si="3">+A66+1</f>
        <v>66</v>
      </c>
      <c r="B67" s="79">
        <v>75082</v>
      </c>
      <c r="C67" s="61" t="s">
        <v>116</v>
      </c>
      <c r="D67" s="62" t="s">
        <v>18</v>
      </c>
      <c r="E67" s="60">
        <v>355</v>
      </c>
      <c r="F67" s="60">
        <v>2015</v>
      </c>
      <c r="G67" s="60">
        <v>2016</v>
      </c>
      <c r="H67" s="62" t="s">
        <v>57</v>
      </c>
      <c r="I67" s="60" t="str">
        <f t="shared" ca="1" si="2"/>
        <v>Retired</v>
      </c>
    </row>
    <row r="68" spans="1:9" ht="14.25" customHeight="1" x14ac:dyDescent="0.35">
      <c r="A68" s="62">
        <f t="shared" si="3"/>
        <v>67</v>
      </c>
      <c r="B68" s="79">
        <v>75112</v>
      </c>
      <c r="C68" s="61" t="s">
        <v>117</v>
      </c>
      <c r="D68" s="62" t="s">
        <v>18</v>
      </c>
      <c r="E68" s="60">
        <v>186</v>
      </c>
      <c r="F68" s="60">
        <v>2015</v>
      </c>
      <c r="G68" s="60">
        <v>2016</v>
      </c>
      <c r="H68" s="62" t="s">
        <v>57</v>
      </c>
      <c r="I68" s="60" t="str">
        <f t="shared" ca="1" si="2"/>
        <v>Retired</v>
      </c>
    </row>
    <row r="69" spans="1:9" ht="14.25" customHeight="1" x14ac:dyDescent="0.35">
      <c r="A69" s="62">
        <f t="shared" si="3"/>
        <v>68</v>
      </c>
      <c r="B69" s="79">
        <v>75111</v>
      </c>
      <c r="C69" s="61" t="s">
        <v>118</v>
      </c>
      <c r="D69" s="62" t="s">
        <v>18</v>
      </c>
      <c r="E69" s="60">
        <v>160</v>
      </c>
      <c r="F69" s="60">
        <v>2015</v>
      </c>
      <c r="G69" s="60">
        <v>2017</v>
      </c>
      <c r="H69" s="62" t="s">
        <v>57</v>
      </c>
      <c r="I69" s="60" t="str">
        <f t="shared" ca="1" si="2"/>
        <v>Retired</v>
      </c>
    </row>
    <row r="70" spans="1:9" ht="14.25" customHeight="1" x14ac:dyDescent="0.35">
      <c r="A70" s="62">
        <f t="shared" si="3"/>
        <v>69</v>
      </c>
      <c r="B70" s="79">
        <v>75107</v>
      </c>
      <c r="C70" s="61" t="s">
        <v>119</v>
      </c>
      <c r="D70" s="62" t="s">
        <v>18</v>
      </c>
      <c r="E70" s="60">
        <v>85</v>
      </c>
      <c r="F70" s="60">
        <v>2015</v>
      </c>
      <c r="G70" s="60">
        <v>2016</v>
      </c>
      <c r="H70" s="62" t="s">
        <v>57</v>
      </c>
      <c r="I70" s="60" t="str">
        <f t="shared" ca="1" si="2"/>
        <v>Retired</v>
      </c>
    </row>
    <row r="71" spans="1:9" ht="14.25" customHeight="1" x14ac:dyDescent="0.35">
      <c r="A71" s="62">
        <f t="shared" si="3"/>
        <v>70</v>
      </c>
      <c r="B71" s="79">
        <v>75118</v>
      </c>
      <c r="C71" s="61" t="s">
        <v>120</v>
      </c>
      <c r="D71" s="62" t="s">
        <v>18</v>
      </c>
      <c r="E71" s="60">
        <v>82</v>
      </c>
      <c r="F71" s="60">
        <v>2016</v>
      </c>
      <c r="G71" s="60">
        <v>2017</v>
      </c>
      <c r="H71" s="62" t="s">
        <v>57</v>
      </c>
      <c r="I71" s="60" t="str">
        <f t="shared" ca="1" si="2"/>
        <v>Retired</v>
      </c>
    </row>
    <row r="72" spans="1:9" ht="14.25" customHeight="1" x14ac:dyDescent="0.35">
      <c r="A72" s="62">
        <f t="shared" si="3"/>
        <v>71</v>
      </c>
      <c r="B72" s="79">
        <v>75114</v>
      </c>
      <c r="C72" s="61" t="s">
        <v>121</v>
      </c>
      <c r="D72" s="62" t="s">
        <v>18</v>
      </c>
      <c r="E72" s="60">
        <v>81</v>
      </c>
      <c r="F72" s="60">
        <v>2016</v>
      </c>
      <c r="G72" s="60">
        <v>2017</v>
      </c>
      <c r="H72" s="62" t="s">
        <v>57</v>
      </c>
      <c r="I72" s="60" t="str">
        <f t="shared" ca="1" si="2"/>
        <v>Retired</v>
      </c>
    </row>
    <row r="73" spans="1:9" ht="14.25" customHeight="1" x14ac:dyDescent="0.35">
      <c r="A73" s="62">
        <f t="shared" si="3"/>
        <v>72</v>
      </c>
      <c r="B73" s="79">
        <v>72037</v>
      </c>
      <c r="C73" s="61" t="s">
        <v>122</v>
      </c>
      <c r="D73" s="62" t="s">
        <v>23</v>
      </c>
      <c r="E73" s="60">
        <v>1972</v>
      </c>
      <c r="F73" s="60">
        <v>2025</v>
      </c>
      <c r="G73" s="60" t="s">
        <v>52</v>
      </c>
      <c r="H73" s="62" t="s">
        <v>57</v>
      </c>
      <c r="I73" s="60" t="str">
        <f t="shared" ca="1" si="2"/>
        <v>Not Retired</v>
      </c>
    </row>
    <row r="74" spans="1:9" ht="14.25" customHeight="1" x14ac:dyDescent="0.35">
      <c r="A74" s="62">
        <f t="shared" si="3"/>
        <v>73</v>
      </c>
      <c r="B74" s="79">
        <v>71426</v>
      </c>
      <c r="C74" s="61" t="s">
        <v>123</v>
      </c>
      <c r="D74" s="62" t="s">
        <v>23</v>
      </c>
      <c r="E74" s="60">
        <v>540</v>
      </c>
      <c r="F74" s="60">
        <v>2023</v>
      </c>
      <c r="G74" s="60">
        <v>2026</v>
      </c>
      <c r="H74" s="62" t="s">
        <v>53</v>
      </c>
      <c r="I74" s="60" t="str">
        <f t="shared" ca="1" si="2"/>
        <v>Not Retired</v>
      </c>
    </row>
    <row r="75" spans="1:9" ht="14.25" customHeight="1" x14ac:dyDescent="0.35">
      <c r="A75" s="62">
        <f t="shared" si="3"/>
        <v>74</v>
      </c>
      <c r="B75" s="79">
        <v>72046</v>
      </c>
      <c r="C75" s="61" t="s">
        <v>124</v>
      </c>
      <c r="D75" s="62" t="s">
        <v>23</v>
      </c>
      <c r="E75" s="60">
        <v>421</v>
      </c>
      <c r="F75" s="60">
        <v>2025</v>
      </c>
      <c r="G75" s="60" t="s">
        <v>52</v>
      </c>
      <c r="H75" s="62" t="s">
        <v>57</v>
      </c>
      <c r="I75" s="60" t="str">
        <f t="shared" ca="1" si="2"/>
        <v>Not Retired</v>
      </c>
    </row>
    <row r="76" spans="1:9" ht="14.25" customHeight="1" x14ac:dyDescent="0.35">
      <c r="A76" s="62">
        <f t="shared" si="3"/>
        <v>75</v>
      </c>
      <c r="B76" s="79">
        <v>42110</v>
      </c>
      <c r="C76" s="61" t="s">
        <v>125</v>
      </c>
      <c r="D76" s="62" t="s">
        <v>26</v>
      </c>
      <c r="E76" s="60">
        <v>2573</v>
      </c>
      <c r="F76" s="60">
        <v>2019</v>
      </c>
      <c r="G76" s="60">
        <v>2022</v>
      </c>
      <c r="H76" s="62" t="s">
        <v>57</v>
      </c>
      <c r="I76" s="60" t="str">
        <f t="shared" ca="1" si="2"/>
        <v>Retired</v>
      </c>
    </row>
    <row r="77" spans="1:9" ht="14.25" customHeight="1" x14ac:dyDescent="0.35">
      <c r="A77" s="62">
        <f t="shared" si="3"/>
        <v>76</v>
      </c>
      <c r="B77" s="79">
        <v>42109</v>
      </c>
      <c r="C77" s="61" t="s">
        <v>126</v>
      </c>
      <c r="D77" s="62" t="s">
        <v>26</v>
      </c>
      <c r="E77" s="60">
        <v>463</v>
      </c>
      <c r="F77" s="60">
        <v>2020</v>
      </c>
      <c r="G77" s="60">
        <v>2021</v>
      </c>
      <c r="H77" s="62" t="s">
        <v>57</v>
      </c>
      <c r="I77" s="60" t="str">
        <f t="shared" ca="1" si="2"/>
        <v>Retired</v>
      </c>
    </row>
    <row r="78" spans="1:9" ht="14.25" customHeight="1" x14ac:dyDescent="0.35">
      <c r="A78" s="62">
        <f t="shared" si="3"/>
        <v>77</v>
      </c>
      <c r="B78" s="79">
        <v>77256</v>
      </c>
      <c r="C78" s="61" t="s">
        <v>98</v>
      </c>
      <c r="D78" s="62" t="s">
        <v>22</v>
      </c>
      <c r="E78" s="60">
        <v>357</v>
      </c>
      <c r="F78" s="60">
        <v>2026</v>
      </c>
      <c r="G78" s="60" t="s">
        <v>52</v>
      </c>
      <c r="H78" s="62" t="s">
        <v>57</v>
      </c>
      <c r="I78" s="60" t="str">
        <f t="shared" ca="1" si="2"/>
        <v>Not Retired</v>
      </c>
    </row>
    <row r="79" spans="1:9" ht="14.25" customHeight="1" x14ac:dyDescent="0.35">
      <c r="A79" s="62">
        <f t="shared" si="3"/>
        <v>78</v>
      </c>
      <c r="B79" s="79">
        <v>43020</v>
      </c>
      <c r="C79" s="61" t="s">
        <v>127</v>
      </c>
      <c r="D79" s="62" t="s">
        <v>27</v>
      </c>
      <c r="E79" s="60">
        <v>2842</v>
      </c>
      <c r="F79" s="60">
        <v>2026</v>
      </c>
      <c r="G79" s="60" t="s">
        <v>52</v>
      </c>
      <c r="H79" s="62" t="s">
        <v>57</v>
      </c>
      <c r="I79" s="60" t="str">
        <f t="shared" ca="1" si="2"/>
        <v>Not Retired</v>
      </c>
    </row>
    <row r="80" spans="1:9" ht="14.25" customHeight="1" x14ac:dyDescent="0.35">
      <c r="A80" s="62">
        <f t="shared" si="3"/>
        <v>79</v>
      </c>
      <c r="B80" s="79">
        <v>11375</v>
      </c>
      <c r="C80" s="61" t="s">
        <v>128</v>
      </c>
      <c r="D80" s="62" t="s">
        <v>20</v>
      </c>
      <c r="E80" s="60">
        <v>735</v>
      </c>
      <c r="F80" s="60">
        <v>2026</v>
      </c>
      <c r="G80" s="60" t="s">
        <v>52</v>
      </c>
      <c r="H80" s="62" t="s">
        <v>57</v>
      </c>
      <c r="I80" s="60" t="str">
        <f t="shared" ca="1" si="2"/>
        <v>Not Retired</v>
      </c>
    </row>
    <row r="81" spans="1:10" ht="14.25" customHeight="1" x14ac:dyDescent="0.35">
      <c r="A81" s="62">
        <f t="shared" si="3"/>
        <v>80</v>
      </c>
      <c r="B81" s="79">
        <v>21376</v>
      </c>
      <c r="C81" s="61" t="s">
        <v>129</v>
      </c>
      <c r="D81" s="62" t="s">
        <v>21</v>
      </c>
      <c r="E81" s="60">
        <v>1755</v>
      </c>
      <c r="F81" s="60">
        <v>2026</v>
      </c>
      <c r="G81" s="60" t="s">
        <v>52</v>
      </c>
      <c r="H81" s="62" t="s">
        <v>53</v>
      </c>
      <c r="I81" s="60" t="str">
        <f t="shared" ca="1" si="2"/>
        <v>Not Retired</v>
      </c>
    </row>
    <row r="82" spans="1:10" ht="14.25" customHeight="1" x14ac:dyDescent="0.35">
      <c r="A82" s="62">
        <f t="shared" si="3"/>
        <v>81</v>
      </c>
      <c r="B82" s="79">
        <v>72152</v>
      </c>
      <c r="C82" s="61" t="s">
        <v>130</v>
      </c>
      <c r="D82" s="62" t="s">
        <v>29</v>
      </c>
      <c r="E82" s="60">
        <v>2050</v>
      </c>
      <c r="F82" s="60">
        <v>2026</v>
      </c>
      <c r="G82" s="60" t="s">
        <v>52</v>
      </c>
      <c r="H82" s="62" t="s">
        <v>53</v>
      </c>
      <c r="I82" s="60" t="str">
        <f t="shared" ca="1" si="2"/>
        <v>Not Retired</v>
      </c>
    </row>
    <row r="83" spans="1:10" ht="14.25" customHeight="1" x14ac:dyDescent="0.35">
      <c r="A83" s="62">
        <f t="shared" si="3"/>
        <v>82</v>
      </c>
      <c r="B83" s="79">
        <v>72151</v>
      </c>
      <c r="C83" s="61" t="s">
        <v>131</v>
      </c>
      <c r="D83" s="62" t="s">
        <v>29</v>
      </c>
      <c r="E83" s="60">
        <v>587</v>
      </c>
      <c r="F83" s="60">
        <v>2026</v>
      </c>
      <c r="G83" s="60" t="s">
        <v>52</v>
      </c>
      <c r="H83" s="62" t="s">
        <v>57</v>
      </c>
      <c r="I83" s="60" t="str">
        <f t="shared" ca="1" si="2"/>
        <v>Not Retired</v>
      </c>
    </row>
    <row r="84" spans="1:10" ht="14.25" customHeight="1" x14ac:dyDescent="0.35">
      <c r="A84" s="62">
        <f t="shared" si="3"/>
        <v>83</v>
      </c>
      <c r="B84" s="79">
        <v>43019</v>
      </c>
      <c r="C84" s="61" t="s">
        <v>132</v>
      </c>
      <c r="D84" s="62" t="s">
        <v>27</v>
      </c>
      <c r="E84" s="60">
        <v>1498</v>
      </c>
      <c r="F84" s="60">
        <v>2026</v>
      </c>
      <c r="G84" s="60" t="s">
        <v>52</v>
      </c>
      <c r="H84" s="62" t="s">
        <v>57</v>
      </c>
      <c r="I84" s="60" t="str">
        <f t="shared" ca="1" si="2"/>
        <v>Not Retired</v>
      </c>
    </row>
    <row r="85" spans="1:10" ht="14.25" customHeight="1" x14ac:dyDescent="0.35">
      <c r="A85" s="62">
        <f t="shared" si="3"/>
        <v>84</v>
      </c>
      <c r="B85" s="79">
        <v>11376</v>
      </c>
      <c r="C85" s="61" t="s">
        <v>133</v>
      </c>
      <c r="D85" s="62" t="s">
        <v>20</v>
      </c>
      <c r="E85" s="60">
        <v>1060</v>
      </c>
      <c r="F85" s="60">
        <v>2026</v>
      </c>
      <c r="G85" s="60" t="s">
        <v>52</v>
      </c>
      <c r="H85" s="62" t="s">
        <v>57</v>
      </c>
      <c r="I85" s="60" t="str">
        <f t="shared" ca="1" si="2"/>
        <v>Not Retired</v>
      </c>
    </row>
    <row r="86" spans="1:10" ht="14.25" customHeight="1" x14ac:dyDescent="0.35">
      <c r="A86" s="62">
        <f t="shared" si="3"/>
        <v>85</v>
      </c>
      <c r="B86" s="79">
        <v>77255</v>
      </c>
      <c r="C86" s="61" t="s">
        <v>134</v>
      </c>
      <c r="D86" s="62" t="s">
        <v>22</v>
      </c>
      <c r="E86" s="60">
        <v>270</v>
      </c>
      <c r="F86" s="60">
        <v>2026</v>
      </c>
      <c r="G86" s="60" t="s">
        <v>52</v>
      </c>
      <c r="H86" s="62" t="s">
        <v>57</v>
      </c>
      <c r="I86" s="60" t="str">
        <f t="shared" ca="1" si="2"/>
        <v>Not Retired</v>
      </c>
    </row>
    <row r="87" spans="1:10" ht="14.25" customHeight="1" x14ac:dyDescent="0.35">
      <c r="A87" s="62">
        <f t="shared" si="3"/>
        <v>86</v>
      </c>
      <c r="B87" s="79">
        <v>11378</v>
      </c>
      <c r="C87" s="61" t="s">
        <v>135</v>
      </c>
      <c r="D87" s="62" t="s">
        <v>20</v>
      </c>
      <c r="E87" s="60">
        <v>1903</v>
      </c>
      <c r="F87" s="60">
        <v>2026</v>
      </c>
      <c r="G87" s="60" t="s">
        <v>52</v>
      </c>
      <c r="H87" s="62" t="s">
        <v>53</v>
      </c>
      <c r="I87" s="60" t="str">
        <f t="shared" ca="1" si="2"/>
        <v>Not Retired</v>
      </c>
    </row>
    <row r="88" spans="1:10" ht="14.25" customHeight="1" x14ac:dyDescent="0.35">
      <c r="A88" s="62">
        <f t="shared" si="3"/>
        <v>87</v>
      </c>
      <c r="B88" s="79">
        <v>72050</v>
      </c>
      <c r="C88" s="61" t="s">
        <v>136</v>
      </c>
      <c r="D88" s="62" t="s">
        <v>23</v>
      </c>
      <c r="E88" s="60">
        <v>2234</v>
      </c>
      <c r="F88" s="60">
        <v>2026</v>
      </c>
      <c r="G88" s="60" t="s">
        <v>52</v>
      </c>
      <c r="H88" s="62" t="s">
        <v>53</v>
      </c>
      <c r="I88" s="60" t="str">
        <f t="shared" ca="1" si="2"/>
        <v>Not Retired</v>
      </c>
    </row>
    <row r="89" spans="1:10" ht="14.25" customHeight="1" x14ac:dyDescent="0.35">
      <c r="A89" s="62">
        <f t="shared" si="3"/>
        <v>88</v>
      </c>
      <c r="B89" s="79">
        <v>76421</v>
      </c>
      <c r="C89" s="61" t="s">
        <v>137</v>
      </c>
      <c r="D89" s="62" t="s">
        <v>33</v>
      </c>
      <c r="E89" s="60">
        <v>403</v>
      </c>
      <c r="F89" s="60">
        <v>2023</v>
      </c>
      <c r="G89" s="60">
        <v>2025</v>
      </c>
      <c r="H89" s="62" t="s">
        <v>57</v>
      </c>
      <c r="I89" s="60" t="str">
        <f t="shared" ca="1" si="2"/>
        <v>Retired</v>
      </c>
    </row>
    <row r="90" spans="1:10" ht="27.75" customHeight="1" x14ac:dyDescent="0.35">
      <c r="A90" s="62">
        <f t="shared" si="3"/>
        <v>89</v>
      </c>
      <c r="B90" s="79">
        <v>77252</v>
      </c>
      <c r="C90" s="61" t="s">
        <v>138</v>
      </c>
      <c r="D90" s="62" t="s">
        <v>22</v>
      </c>
      <c r="E90" s="60">
        <v>268</v>
      </c>
      <c r="F90" s="60">
        <v>2026</v>
      </c>
      <c r="G90" s="60" t="s">
        <v>52</v>
      </c>
      <c r="H90" s="62" t="s">
        <v>53</v>
      </c>
      <c r="I90" s="60" t="str">
        <f t="shared" ca="1" si="2"/>
        <v>Not Retired</v>
      </c>
      <c r="J90" s="56"/>
    </row>
    <row r="91" spans="1:10" ht="14.25" customHeight="1" x14ac:dyDescent="0.35">
      <c r="A91" s="62">
        <f t="shared" si="3"/>
        <v>90</v>
      </c>
      <c r="B91" s="79">
        <v>77243</v>
      </c>
      <c r="C91" s="61" t="s">
        <v>139</v>
      </c>
      <c r="D91" s="62" t="s">
        <v>22</v>
      </c>
      <c r="E91" s="60">
        <v>251</v>
      </c>
      <c r="F91" s="60">
        <v>2025</v>
      </c>
      <c r="G91" s="60">
        <v>2026</v>
      </c>
      <c r="H91" s="62" t="s">
        <v>57</v>
      </c>
      <c r="I91" s="60" t="str">
        <f t="shared" ca="1" si="2"/>
        <v>Not Retired</v>
      </c>
      <c r="J91" s="56"/>
    </row>
    <row r="92" spans="1:10" ht="14.25" customHeight="1" x14ac:dyDescent="0.35">
      <c r="A92" s="62">
        <f t="shared" si="3"/>
        <v>91</v>
      </c>
      <c r="B92" s="79">
        <v>77244</v>
      </c>
      <c r="C92" s="61" t="s">
        <v>140</v>
      </c>
      <c r="D92" s="62" t="s">
        <v>22</v>
      </c>
      <c r="E92" s="60">
        <v>267</v>
      </c>
      <c r="F92" s="60">
        <v>2025</v>
      </c>
      <c r="G92" s="60">
        <v>2026</v>
      </c>
      <c r="H92" s="62" t="s">
        <v>53</v>
      </c>
      <c r="I92" s="60" t="str">
        <f t="shared" ca="1" si="2"/>
        <v>Not Retired</v>
      </c>
      <c r="J92" s="56"/>
    </row>
    <row r="93" spans="1:10" ht="14.25" customHeight="1" x14ac:dyDescent="0.35">
      <c r="A93" s="62">
        <f t="shared" si="3"/>
        <v>92</v>
      </c>
      <c r="B93" s="79">
        <v>43279</v>
      </c>
      <c r="C93" s="61" t="s">
        <v>141</v>
      </c>
      <c r="D93" s="62" t="s">
        <v>30</v>
      </c>
      <c r="E93" s="60">
        <v>811</v>
      </c>
      <c r="F93" s="60">
        <v>2025</v>
      </c>
      <c r="G93" s="60" t="s">
        <v>52</v>
      </c>
      <c r="H93" s="62" t="s">
        <v>53</v>
      </c>
      <c r="I93" s="60" t="str">
        <f t="shared" ca="1" si="2"/>
        <v>Not Retired</v>
      </c>
      <c r="J93" s="56"/>
    </row>
    <row r="94" spans="1:10" ht="14.25" customHeight="1" x14ac:dyDescent="0.35">
      <c r="A94" s="62">
        <f t="shared" si="3"/>
        <v>93</v>
      </c>
      <c r="B94" s="79">
        <v>75415</v>
      </c>
      <c r="C94" s="61" t="s">
        <v>142</v>
      </c>
      <c r="D94" s="62" t="s">
        <v>18</v>
      </c>
      <c r="E94" s="60">
        <v>529</v>
      </c>
      <c r="F94" s="60">
        <v>2025</v>
      </c>
      <c r="G94" s="60">
        <v>2026</v>
      </c>
      <c r="H94" s="62" t="s">
        <v>53</v>
      </c>
      <c r="I94" s="60" t="str">
        <f t="shared" ca="1" si="2"/>
        <v>Not Retired</v>
      </c>
    </row>
    <row r="95" spans="1:10" ht="14.25" customHeight="1" x14ac:dyDescent="0.35">
      <c r="A95" s="62">
        <f t="shared" si="3"/>
        <v>94</v>
      </c>
      <c r="B95" s="79">
        <v>75408</v>
      </c>
      <c r="C95" s="61" t="s">
        <v>143</v>
      </c>
      <c r="D95" s="62" t="s">
        <v>18</v>
      </c>
      <c r="E95" s="60">
        <v>616</v>
      </c>
      <c r="F95" s="60">
        <v>2025</v>
      </c>
      <c r="G95" s="60" t="s">
        <v>52</v>
      </c>
      <c r="H95" s="62" t="s">
        <v>53</v>
      </c>
      <c r="I95" s="60" t="str">
        <f t="shared" ca="1" si="2"/>
        <v>Not Retired</v>
      </c>
    </row>
    <row r="96" spans="1:10" ht="14.25" customHeight="1" x14ac:dyDescent="0.35">
      <c r="A96" s="62">
        <f t="shared" si="3"/>
        <v>95</v>
      </c>
      <c r="B96" s="79">
        <v>75305</v>
      </c>
      <c r="C96" s="61" t="s">
        <v>144</v>
      </c>
      <c r="D96" s="62" t="s">
        <v>18</v>
      </c>
      <c r="E96" s="60">
        <v>471</v>
      </c>
      <c r="F96" s="60">
        <v>2021</v>
      </c>
      <c r="G96" s="60">
        <v>2022</v>
      </c>
      <c r="H96" s="62" t="s">
        <v>53</v>
      </c>
      <c r="I96" s="60" t="str">
        <f t="shared" ca="1" si="2"/>
        <v>Retired</v>
      </c>
    </row>
    <row r="97" spans="1:9" ht="14.25" customHeight="1" x14ac:dyDescent="0.35">
      <c r="A97" s="62">
        <f t="shared" si="3"/>
        <v>96</v>
      </c>
      <c r="B97" s="79">
        <v>75327</v>
      </c>
      <c r="C97" s="61" t="s">
        <v>145</v>
      </c>
      <c r="D97" s="62" t="s">
        <v>18</v>
      </c>
      <c r="E97" s="60">
        <v>675</v>
      </c>
      <c r="F97" s="60">
        <v>2022</v>
      </c>
      <c r="G97" s="60">
        <v>2023</v>
      </c>
      <c r="H97" s="62" t="s">
        <v>53</v>
      </c>
      <c r="I97" s="60" t="str">
        <f t="shared" ca="1" si="2"/>
        <v>Retired</v>
      </c>
    </row>
    <row r="98" spans="1:9" ht="14.25" customHeight="1" x14ac:dyDescent="0.35">
      <c r="A98" s="62">
        <f t="shared" si="3"/>
        <v>97</v>
      </c>
      <c r="B98" s="79">
        <v>75343</v>
      </c>
      <c r="C98" s="61" t="s">
        <v>146</v>
      </c>
      <c r="D98" s="62" t="s">
        <v>18</v>
      </c>
      <c r="E98" s="60">
        <v>693</v>
      </c>
      <c r="F98" s="60">
        <v>2022</v>
      </c>
      <c r="G98" s="60">
        <v>2023</v>
      </c>
      <c r="H98" s="62" t="s">
        <v>53</v>
      </c>
      <c r="I98" s="60" t="str">
        <f t="shared" ca="1" si="2"/>
        <v>Retired</v>
      </c>
    </row>
    <row r="99" spans="1:9" ht="14.25" customHeight="1" x14ac:dyDescent="0.35">
      <c r="A99" s="62">
        <f t="shared" si="3"/>
        <v>98</v>
      </c>
      <c r="B99" s="79">
        <v>75350</v>
      </c>
      <c r="C99" s="61" t="s">
        <v>147</v>
      </c>
      <c r="D99" s="62" t="s">
        <v>18</v>
      </c>
      <c r="E99" s="60">
        <v>766</v>
      </c>
      <c r="F99" s="60">
        <v>2023</v>
      </c>
      <c r="G99" s="60">
        <v>2024</v>
      </c>
      <c r="H99" s="62" t="s">
        <v>53</v>
      </c>
      <c r="I99" s="60" t="str">
        <f t="shared" ca="1" si="2"/>
        <v>Retired</v>
      </c>
    </row>
    <row r="100" spans="1:9" ht="14.25" customHeight="1" x14ac:dyDescent="0.35">
      <c r="A100" s="62">
        <f t="shared" si="3"/>
        <v>99</v>
      </c>
      <c r="B100" s="79">
        <v>75351</v>
      </c>
      <c r="C100" s="61" t="s">
        <v>148</v>
      </c>
      <c r="D100" s="62" t="s">
        <v>18</v>
      </c>
      <c r="E100" s="60">
        <v>670</v>
      </c>
      <c r="F100" s="60">
        <v>2023</v>
      </c>
      <c r="G100" s="60">
        <v>2024</v>
      </c>
      <c r="H100" s="62" t="s">
        <v>53</v>
      </c>
      <c r="I100" s="60" t="str">
        <f t="shared" ca="1" si="2"/>
        <v>Retired</v>
      </c>
    </row>
    <row r="101" spans="1:9" ht="14.25" customHeight="1" x14ac:dyDescent="0.35">
      <c r="A101" s="62">
        <f t="shared" si="3"/>
        <v>100</v>
      </c>
      <c r="B101" s="79">
        <v>75349</v>
      </c>
      <c r="C101" s="61" t="s">
        <v>149</v>
      </c>
      <c r="D101" s="62" t="s">
        <v>18</v>
      </c>
      <c r="E101" s="60">
        <v>854</v>
      </c>
      <c r="F101" s="60">
        <v>2023</v>
      </c>
      <c r="G101" s="60">
        <v>2026</v>
      </c>
      <c r="H101" s="62" t="s">
        <v>53</v>
      </c>
      <c r="I101" s="60" t="str">
        <f t="shared" ca="1" si="2"/>
        <v>Not Retired</v>
      </c>
    </row>
    <row r="102" spans="1:9" ht="14.25" customHeight="1" x14ac:dyDescent="0.35">
      <c r="A102" s="62">
        <f t="shared" si="3"/>
        <v>101</v>
      </c>
      <c r="B102" s="79">
        <v>76327</v>
      </c>
      <c r="C102" s="61" t="s">
        <v>150</v>
      </c>
      <c r="D102" s="62" t="s">
        <v>24</v>
      </c>
      <c r="E102" s="60">
        <v>436</v>
      </c>
      <c r="F102" s="60">
        <v>2025</v>
      </c>
      <c r="G102" s="60">
        <v>2026</v>
      </c>
      <c r="H102" s="62" t="s">
        <v>57</v>
      </c>
      <c r="I102" s="60" t="str">
        <f t="shared" ca="1" si="2"/>
        <v>Not Retired</v>
      </c>
    </row>
    <row r="103" spans="1:9" ht="14.25" customHeight="1" x14ac:dyDescent="0.35">
      <c r="A103" s="62">
        <f t="shared" si="3"/>
        <v>102</v>
      </c>
      <c r="B103" s="79">
        <v>71411</v>
      </c>
      <c r="C103" s="61" t="s">
        <v>151</v>
      </c>
      <c r="D103" s="62" t="s">
        <v>23</v>
      </c>
      <c r="E103" s="60">
        <v>2807</v>
      </c>
      <c r="F103" s="60">
        <v>2022</v>
      </c>
      <c r="G103" s="60">
        <v>2025</v>
      </c>
      <c r="H103" s="62" t="s">
        <v>53</v>
      </c>
      <c r="I103" s="60" t="str">
        <f t="shared" ca="1" si="2"/>
        <v>Retired</v>
      </c>
    </row>
    <row r="104" spans="1:9" ht="14.25" customHeight="1" x14ac:dyDescent="0.35">
      <c r="A104" s="62">
        <f t="shared" si="3"/>
        <v>103</v>
      </c>
      <c r="B104" s="79">
        <v>76282</v>
      </c>
      <c r="C104" s="61" t="s">
        <v>152</v>
      </c>
      <c r="D104" s="62" t="s">
        <v>24</v>
      </c>
      <c r="E104" s="60">
        <v>566</v>
      </c>
      <c r="F104" s="60">
        <v>2024</v>
      </c>
      <c r="G104" s="60">
        <v>2025</v>
      </c>
      <c r="H104" s="62" t="s">
        <v>53</v>
      </c>
      <c r="I104" s="60" t="str">
        <f t="shared" ca="1" si="2"/>
        <v>Retired</v>
      </c>
    </row>
    <row r="105" spans="1:9" ht="14.25" customHeight="1" x14ac:dyDescent="0.35">
      <c r="A105" s="62">
        <f t="shared" si="3"/>
        <v>104</v>
      </c>
      <c r="B105" s="79">
        <v>11373</v>
      </c>
      <c r="C105" s="61" t="s">
        <v>153</v>
      </c>
      <c r="D105" s="62" t="s">
        <v>20</v>
      </c>
      <c r="E105" s="60">
        <v>538</v>
      </c>
      <c r="F105" s="60">
        <v>2026</v>
      </c>
      <c r="G105" s="60" t="s">
        <v>52</v>
      </c>
      <c r="H105" s="62" t="s">
        <v>57</v>
      </c>
      <c r="I105" s="60" t="str">
        <f t="shared" ca="1" si="2"/>
        <v>Not Retired</v>
      </c>
    </row>
    <row r="106" spans="1:9" ht="14.25" customHeight="1" x14ac:dyDescent="0.35">
      <c r="A106" s="62">
        <f t="shared" si="3"/>
        <v>105</v>
      </c>
      <c r="B106" s="79">
        <v>75274</v>
      </c>
      <c r="C106" s="61" t="s">
        <v>154</v>
      </c>
      <c r="D106" s="62" t="s">
        <v>18</v>
      </c>
      <c r="E106" s="60">
        <v>724</v>
      </c>
      <c r="F106" s="60">
        <v>2020</v>
      </c>
      <c r="G106" s="60">
        <v>2021</v>
      </c>
      <c r="H106" s="62" t="s">
        <v>53</v>
      </c>
      <c r="I106" s="60" t="str">
        <f t="shared" ca="1" si="2"/>
        <v>Retired</v>
      </c>
    </row>
    <row r="107" spans="1:9" ht="28.5" customHeight="1" x14ac:dyDescent="0.35">
      <c r="A107" s="62">
        <f t="shared" si="3"/>
        <v>106</v>
      </c>
      <c r="B107" s="79">
        <v>76239</v>
      </c>
      <c r="C107" s="61" t="s">
        <v>155</v>
      </c>
      <c r="D107" s="62" t="s">
        <v>35</v>
      </c>
      <c r="E107" s="60">
        <v>422</v>
      </c>
      <c r="F107" s="60">
        <v>2021</v>
      </c>
      <c r="G107" s="60">
        <v>2022</v>
      </c>
      <c r="H107" s="62" t="s">
        <v>53</v>
      </c>
      <c r="I107" s="60" t="str">
        <f t="shared" ca="1" si="2"/>
        <v>Retired</v>
      </c>
    </row>
    <row r="108" spans="1:9" ht="14.25" customHeight="1" x14ac:dyDescent="0.35">
      <c r="A108" s="62">
        <f t="shared" si="3"/>
        <v>107</v>
      </c>
      <c r="B108" s="79">
        <v>40795</v>
      </c>
      <c r="C108" s="61" t="s">
        <v>156</v>
      </c>
      <c r="D108" s="62" t="s">
        <v>18</v>
      </c>
      <c r="E108" s="60">
        <v>138</v>
      </c>
      <c r="F108" s="60">
        <v>2025</v>
      </c>
      <c r="G108" s="60" t="s">
        <v>52</v>
      </c>
      <c r="H108" s="62" t="s">
        <v>53</v>
      </c>
      <c r="I108" s="60" t="str">
        <f t="shared" ca="1" si="2"/>
        <v>Not Retired</v>
      </c>
    </row>
    <row r="109" spans="1:9" ht="14.25" customHeight="1" x14ac:dyDescent="0.35">
      <c r="A109" s="62">
        <f t="shared" si="3"/>
        <v>108</v>
      </c>
      <c r="B109" s="79">
        <v>40861</v>
      </c>
      <c r="C109" s="61" t="s">
        <v>157</v>
      </c>
      <c r="D109" s="62" t="s">
        <v>28</v>
      </c>
      <c r="E109" s="60">
        <v>303</v>
      </c>
      <c r="F109" s="60">
        <v>2026</v>
      </c>
      <c r="G109" s="60" t="s">
        <v>52</v>
      </c>
      <c r="H109" s="62" t="s">
        <v>53</v>
      </c>
      <c r="I109" s="60" t="str">
        <f t="shared" ca="1" si="2"/>
        <v>Not Retired</v>
      </c>
    </row>
    <row r="110" spans="1:9" ht="14.25" customHeight="1" x14ac:dyDescent="0.35">
      <c r="A110" s="62">
        <f t="shared" si="3"/>
        <v>109</v>
      </c>
      <c r="B110" s="79">
        <v>21062</v>
      </c>
      <c r="C110" s="61" t="s">
        <v>158</v>
      </c>
      <c r="D110" s="62" t="s">
        <v>19</v>
      </c>
      <c r="E110" s="60">
        <v>1880</v>
      </c>
      <c r="F110" s="60">
        <v>2025</v>
      </c>
      <c r="G110" s="60" t="s">
        <v>52</v>
      </c>
      <c r="H110" s="62" t="s">
        <v>53</v>
      </c>
      <c r="I110" s="60" t="str">
        <f t="shared" ca="1" si="2"/>
        <v>Not Retired</v>
      </c>
    </row>
    <row r="111" spans="1:9" ht="14.25" customHeight="1" x14ac:dyDescent="0.35">
      <c r="A111" s="62">
        <f t="shared" si="3"/>
        <v>110</v>
      </c>
      <c r="B111" s="79">
        <v>21058</v>
      </c>
      <c r="C111" s="61" t="s">
        <v>159</v>
      </c>
      <c r="D111" s="62" t="s">
        <v>19</v>
      </c>
      <c r="E111" s="60">
        <v>1476</v>
      </c>
      <c r="F111" s="60">
        <v>2022</v>
      </c>
      <c r="G111" s="60">
        <v>2026</v>
      </c>
      <c r="H111" s="62" t="s">
        <v>53</v>
      </c>
      <c r="I111" s="60" t="str">
        <f t="shared" ca="1" si="2"/>
        <v>Not Retired</v>
      </c>
    </row>
    <row r="112" spans="1:9" ht="14.25" customHeight="1" x14ac:dyDescent="0.35">
      <c r="A112" s="62">
        <f t="shared" si="3"/>
        <v>111</v>
      </c>
      <c r="B112" s="79">
        <v>40953</v>
      </c>
      <c r="C112" s="61" t="s">
        <v>160</v>
      </c>
      <c r="D112" s="62" t="s">
        <v>28</v>
      </c>
      <c r="E112" s="60">
        <v>245</v>
      </c>
      <c r="F112" s="60">
        <v>2026</v>
      </c>
      <c r="G112" s="60" t="s">
        <v>52</v>
      </c>
      <c r="H112" s="62" t="s">
        <v>57</v>
      </c>
      <c r="I112" s="60" t="str">
        <f t="shared" ca="1" si="2"/>
        <v>Not Retired</v>
      </c>
    </row>
    <row r="113" spans="1:9" ht="14.25" customHeight="1" x14ac:dyDescent="0.35">
      <c r="A113" s="62">
        <f t="shared" si="3"/>
        <v>112</v>
      </c>
      <c r="B113" s="79">
        <v>75394</v>
      </c>
      <c r="C113" s="61" t="s">
        <v>161</v>
      </c>
      <c r="D113" s="62" t="s">
        <v>18</v>
      </c>
      <c r="E113" s="60">
        <v>1555</v>
      </c>
      <c r="F113" s="60">
        <v>2024</v>
      </c>
      <c r="G113" s="60" t="s">
        <v>52</v>
      </c>
      <c r="H113" s="62" t="s">
        <v>53</v>
      </c>
      <c r="I113" s="60" t="str">
        <f t="shared" ca="1" si="2"/>
        <v>Not Retired</v>
      </c>
    </row>
    <row r="114" spans="1:9" ht="14.25" customHeight="1" x14ac:dyDescent="0.35">
      <c r="A114" s="62">
        <f t="shared" si="3"/>
        <v>113</v>
      </c>
      <c r="B114" s="79">
        <v>71374</v>
      </c>
      <c r="C114" s="61" t="s">
        <v>162</v>
      </c>
      <c r="D114" s="62" t="s">
        <v>23</v>
      </c>
      <c r="E114" s="60">
        <v>2646</v>
      </c>
      <c r="F114" s="60">
        <v>2020</v>
      </c>
      <c r="G114" s="60">
        <v>2024</v>
      </c>
      <c r="H114" s="62" t="s">
        <v>53</v>
      </c>
      <c r="I114" s="60" t="str">
        <f t="shared" ca="1" si="2"/>
        <v>Retired</v>
      </c>
    </row>
    <row r="115" spans="1:9" ht="14.25" customHeight="1" x14ac:dyDescent="0.35">
      <c r="A115" s="62">
        <f t="shared" si="3"/>
        <v>114</v>
      </c>
      <c r="B115" s="79">
        <v>40787</v>
      </c>
      <c r="C115" s="61" t="s">
        <v>163</v>
      </c>
      <c r="D115" s="62" t="s">
        <v>23</v>
      </c>
      <c r="E115" s="60">
        <v>234</v>
      </c>
      <c r="F115" s="60">
        <v>2025</v>
      </c>
      <c r="G115" s="60">
        <v>2025</v>
      </c>
      <c r="H115" s="62" t="s">
        <v>57</v>
      </c>
      <c r="I115" s="60" t="str">
        <f t="shared" ca="1" si="2"/>
        <v>Retired</v>
      </c>
    </row>
    <row r="116" spans="1:9" ht="14.25" customHeight="1" x14ac:dyDescent="0.35">
      <c r="A116" s="62">
        <f t="shared" si="3"/>
        <v>115</v>
      </c>
      <c r="B116" s="79">
        <v>76925</v>
      </c>
      <c r="C116" s="61" t="s">
        <v>167</v>
      </c>
      <c r="D116" s="62" t="s">
        <v>22</v>
      </c>
      <c r="E116" s="60">
        <v>564</v>
      </c>
      <c r="F116" s="60">
        <v>2024</v>
      </c>
      <c r="G116" s="60">
        <v>2025</v>
      </c>
      <c r="H116" s="62" t="s">
        <v>53</v>
      </c>
      <c r="I116" s="60" t="str">
        <f t="shared" ca="1" si="2"/>
        <v>Retired</v>
      </c>
    </row>
    <row r="117" spans="1:9" ht="14.25" customHeight="1" x14ac:dyDescent="0.35">
      <c r="A117" s="62">
        <f t="shared" si="3"/>
        <v>116</v>
      </c>
      <c r="B117" s="79">
        <v>10306</v>
      </c>
      <c r="C117" s="61" t="s">
        <v>168</v>
      </c>
      <c r="D117" s="62" t="s">
        <v>20</v>
      </c>
      <c r="E117" s="60">
        <v>2532</v>
      </c>
      <c r="F117" s="60">
        <v>2022</v>
      </c>
      <c r="G117" s="60">
        <v>2024</v>
      </c>
      <c r="H117" s="62" t="s">
        <v>53</v>
      </c>
      <c r="I117" s="60" t="str">
        <f t="shared" ca="1" si="2"/>
        <v>Retired</v>
      </c>
    </row>
    <row r="118" spans="1:9" ht="14.25" customHeight="1" x14ac:dyDescent="0.35">
      <c r="A118" s="62">
        <f t="shared" si="3"/>
        <v>117</v>
      </c>
      <c r="B118" s="79">
        <v>75392</v>
      </c>
      <c r="C118" s="61" t="s">
        <v>169</v>
      </c>
      <c r="D118" s="62" t="s">
        <v>18</v>
      </c>
      <c r="E118" s="60">
        <v>1186</v>
      </c>
      <c r="F118" s="60">
        <v>2024</v>
      </c>
      <c r="G118" s="60">
        <v>2025</v>
      </c>
      <c r="H118" s="62" t="s">
        <v>53</v>
      </c>
      <c r="I118" s="60" t="str">
        <f t="shared" ca="1" si="2"/>
        <v>Retired</v>
      </c>
    </row>
    <row r="119" spans="1:9" ht="14.25" customHeight="1" x14ac:dyDescent="0.35">
      <c r="A119" s="62">
        <f t="shared" si="3"/>
        <v>118</v>
      </c>
      <c r="B119" s="79">
        <v>75428</v>
      </c>
      <c r="C119" s="61" t="s">
        <v>170</v>
      </c>
      <c r="D119" s="62" t="s">
        <v>18</v>
      </c>
      <c r="E119" s="60">
        <v>1088</v>
      </c>
      <c r="F119" s="60">
        <v>2025</v>
      </c>
      <c r="G119" s="60" t="s">
        <v>52</v>
      </c>
      <c r="H119" s="62" t="s">
        <v>53</v>
      </c>
      <c r="I119" s="60" t="str">
        <f t="shared" ca="1" si="2"/>
        <v>Not Retired</v>
      </c>
    </row>
    <row r="120" spans="1:9" ht="14.25" customHeight="1" x14ac:dyDescent="0.35">
      <c r="A120" s="62">
        <f t="shared" si="3"/>
        <v>119</v>
      </c>
      <c r="B120" s="79">
        <v>75438</v>
      </c>
      <c r="C120" s="61" t="s">
        <v>171</v>
      </c>
      <c r="D120" s="62" t="s">
        <v>18</v>
      </c>
      <c r="E120" s="60">
        <v>399</v>
      </c>
      <c r="F120" s="60">
        <v>2026</v>
      </c>
      <c r="G120" s="60" t="s">
        <v>52</v>
      </c>
      <c r="H120" s="62" t="s">
        <v>53</v>
      </c>
      <c r="I120" s="60" t="str">
        <f t="shared" ca="1" si="2"/>
        <v>Not Retired</v>
      </c>
    </row>
    <row r="121" spans="1:9" ht="14.25" customHeight="1" x14ac:dyDescent="0.35">
      <c r="A121" s="62">
        <f t="shared" si="3"/>
        <v>120</v>
      </c>
      <c r="B121" s="79">
        <v>75439</v>
      </c>
      <c r="C121" s="61" t="s">
        <v>172</v>
      </c>
      <c r="D121" s="62" t="s">
        <v>18</v>
      </c>
      <c r="E121" s="60">
        <v>349</v>
      </c>
      <c r="F121" s="60">
        <v>2026</v>
      </c>
      <c r="G121" s="60" t="s">
        <v>52</v>
      </c>
      <c r="H121" s="62" t="s">
        <v>57</v>
      </c>
      <c r="I121" s="60" t="str">
        <f t="shared" ca="1" si="2"/>
        <v>Not Retired</v>
      </c>
    </row>
    <row r="122" spans="1:9" ht="14.25" customHeight="1" x14ac:dyDescent="0.35">
      <c r="A122" s="62">
        <f t="shared" si="3"/>
        <v>121</v>
      </c>
      <c r="B122" s="79">
        <v>75301</v>
      </c>
      <c r="C122" s="61" t="s">
        <v>173</v>
      </c>
      <c r="D122" s="62" t="s">
        <v>18</v>
      </c>
      <c r="E122" s="60">
        <v>474</v>
      </c>
      <c r="F122" s="60">
        <v>2021</v>
      </c>
      <c r="G122" s="60">
        <v>2023</v>
      </c>
      <c r="H122" s="62" t="s">
        <v>53</v>
      </c>
      <c r="I122" s="60" t="str">
        <f t="shared" ca="1" si="2"/>
        <v>Retired</v>
      </c>
    </row>
    <row r="123" spans="1:9" ht="14.25" customHeight="1" x14ac:dyDescent="0.35">
      <c r="A123" s="62">
        <f t="shared" si="3"/>
        <v>122</v>
      </c>
      <c r="B123" s="79">
        <v>75227</v>
      </c>
      <c r="C123" s="61" t="s">
        <v>174</v>
      </c>
      <c r="D123" s="62" t="s">
        <v>18</v>
      </c>
      <c r="E123" s="60">
        <v>327</v>
      </c>
      <c r="F123" s="60">
        <v>2019</v>
      </c>
      <c r="G123" s="60">
        <v>2017</v>
      </c>
      <c r="H123" s="62" t="s">
        <v>53</v>
      </c>
      <c r="I123" s="60" t="str">
        <f t="shared" ca="1" si="2"/>
        <v>Retired</v>
      </c>
    </row>
    <row r="124" spans="1:9" ht="14.25" customHeight="1" x14ac:dyDescent="0.35">
      <c r="A124" s="62">
        <f t="shared" si="3"/>
        <v>123</v>
      </c>
      <c r="B124" s="79">
        <v>43022</v>
      </c>
      <c r="C124" s="61" t="s">
        <v>175</v>
      </c>
      <c r="D124" s="62" t="s">
        <v>27</v>
      </c>
      <c r="E124" s="60">
        <v>884</v>
      </c>
      <c r="F124" s="60">
        <v>2026</v>
      </c>
      <c r="G124" s="60" t="s">
        <v>52</v>
      </c>
      <c r="H124" s="62" t="s">
        <v>57</v>
      </c>
      <c r="I124" s="60" t="str">
        <f t="shared" ca="1" si="2"/>
        <v>Not Retired</v>
      </c>
    </row>
    <row r="125" spans="1:9" ht="14.25" customHeight="1" x14ac:dyDescent="0.35">
      <c r="A125" s="62">
        <f t="shared" si="3"/>
        <v>124</v>
      </c>
      <c r="B125" s="79">
        <v>43014</v>
      </c>
      <c r="C125" s="61" t="s">
        <v>176</v>
      </c>
      <c r="D125" s="62" t="s">
        <v>27</v>
      </c>
      <c r="E125" s="60">
        <v>886</v>
      </c>
      <c r="F125" s="60">
        <v>2026</v>
      </c>
      <c r="G125" s="60" t="s">
        <v>52</v>
      </c>
      <c r="H125" s="62" t="s">
        <v>53</v>
      </c>
      <c r="I125" s="60" t="str">
        <f t="shared" ca="1" si="2"/>
        <v>Not Retired</v>
      </c>
    </row>
    <row r="126" spans="1:9" ht="14.25" customHeight="1" x14ac:dyDescent="0.35">
      <c r="A126" s="62">
        <f t="shared" si="3"/>
        <v>125</v>
      </c>
      <c r="B126" s="79">
        <v>75442</v>
      </c>
      <c r="C126" s="61" t="s">
        <v>177</v>
      </c>
      <c r="D126" s="62" t="s">
        <v>18</v>
      </c>
      <c r="E126" s="60">
        <v>1809</v>
      </c>
      <c r="F126" s="60">
        <v>2026</v>
      </c>
      <c r="G126" s="60" t="s">
        <v>52</v>
      </c>
      <c r="H126" s="62" t="s">
        <v>53</v>
      </c>
      <c r="I126" s="60" t="str">
        <f t="shared" ca="1" si="2"/>
        <v>Not Retired</v>
      </c>
    </row>
    <row r="127" spans="1:9" ht="14.25" customHeight="1" x14ac:dyDescent="0.35">
      <c r="A127" s="62">
        <f t="shared" si="3"/>
        <v>126</v>
      </c>
      <c r="B127" s="79">
        <v>75379</v>
      </c>
      <c r="C127" s="61" t="s">
        <v>178</v>
      </c>
      <c r="D127" s="62" t="s">
        <v>18</v>
      </c>
      <c r="E127" s="60">
        <v>1050</v>
      </c>
      <c r="F127" s="60">
        <v>2024</v>
      </c>
      <c r="G127" s="60" t="s">
        <v>52</v>
      </c>
      <c r="H127" s="62" t="s">
        <v>53</v>
      </c>
      <c r="I127" s="60" t="str">
        <f t="shared" ca="1" si="2"/>
        <v>Not Retired</v>
      </c>
    </row>
    <row r="128" spans="1:9" ht="14.25" customHeight="1" x14ac:dyDescent="0.35">
      <c r="A128" s="62">
        <f t="shared" si="3"/>
        <v>127</v>
      </c>
      <c r="B128" s="79">
        <v>21047</v>
      </c>
      <c r="C128" s="61" t="s">
        <v>180</v>
      </c>
      <c r="D128" s="62" t="s">
        <v>19</v>
      </c>
      <c r="E128" s="60">
        <v>487</v>
      </c>
      <c r="F128" s="60">
        <v>2018</v>
      </c>
      <c r="G128" s="60">
        <v>2020</v>
      </c>
      <c r="H128" s="62" t="s">
        <v>53</v>
      </c>
      <c r="I128" s="60" t="str">
        <f t="shared" ca="1" si="2"/>
        <v>Retired</v>
      </c>
    </row>
    <row r="129" spans="1:9" ht="14.25" customHeight="1" x14ac:dyDescent="0.35">
      <c r="A129" s="62">
        <f t="shared" si="3"/>
        <v>128</v>
      </c>
      <c r="B129" s="79">
        <v>75446</v>
      </c>
      <c r="C129" s="61" t="s">
        <v>181</v>
      </c>
      <c r="D129" s="62" t="s">
        <v>18</v>
      </c>
      <c r="E129" s="60">
        <v>1200</v>
      </c>
      <c r="F129" s="60">
        <v>2026</v>
      </c>
      <c r="G129" s="60" t="s">
        <v>52</v>
      </c>
      <c r="H129" s="62" t="s">
        <v>53</v>
      </c>
      <c r="I129" s="60" t="str">
        <f t="shared" ca="1" si="2"/>
        <v>Not Retired</v>
      </c>
    </row>
    <row r="130" spans="1:9" ht="14.25" customHeight="1" x14ac:dyDescent="0.35">
      <c r="A130" s="62">
        <f t="shared" si="3"/>
        <v>129</v>
      </c>
      <c r="B130" s="79">
        <v>21052</v>
      </c>
      <c r="C130" s="61" t="s">
        <v>182</v>
      </c>
      <c r="D130" s="62" t="s">
        <v>19</v>
      </c>
      <c r="E130" s="60">
        <v>740</v>
      </c>
      <c r="F130" s="60">
        <v>2020</v>
      </c>
      <c r="G130" s="60">
        <v>2021</v>
      </c>
      <c r="H130" s="62" t="s">
        <v>53</v>
      </c>
      <c r="I130" s="60" t="str">
        <f t="shared" ref="I130:I193" ca="1" si="4">IF(B130="","",IF(G130="-","Not Retired",IF(G130&lt;YEAR(NOW()),"Retired","Not Retired")))</f>
        <v>Retired</v>
      </c>
    </row>
    <row r="131" spans="1:9" ht="14.25" customHeight="1" x14ac:dyDescent="0.35">
      <c r="A131" s="62">
        <f t="shared" ref="A131:A194" si="5">+A130+1</f>
        <v>130</v>
      </c>
      <c r="B131" s="79">
        <v>75369</v>
      </c>
      <c r="C131" s="61" t="s">
        <v>183</v>
      </c>
      <c r="D131" s="62" t="s">
        <v>18</v>
      </c>
      <c r="E131" s="60">
        <v>155</v>
      </c>
      <c r="F131" s="60">
        <v>2023</v>
      </c>
      <c r="G131" s="60">
        <v>2024</v>
      </c>
      <c r="H131" s="62" t="s">
        <v>53</v>
      </c>
      <c r="I131" s="60" t="str">
        <f t="shared" ca="1" si="4"/>
        <v>Retired</v>
      </c>
    </row>
    <row r="132" spans="1:9" ht="14.25" customHeight="1" x14ac:dyDescent="0.35">
      <c r="A132" s="62">
        <f t="shared" si="5"/>
        <v>131</v>
      </c>
      <c r="B132" s="79">
        <v>75368</v>
      </c>
      <c r="C132" s="61" t="s">
        <v>184</v>
      </c>
      <c r="D132" s="62" t="s">
        <v>18</v>
      </c>
      <c r="E132" s="60">
        <v>139</v>
      </c>
      <c r="F132" s="60">
        <v>2023</v>
      </c>
      <c r="G132" s="60">
        <v>2024</v>
      </c>
      <c r="H132" s="62" t="s">
        <v>53</v>
      </c>
      <c r="I132" s="60" t="str">
        <f t="shared" ca="1" si="4"/>
        <v>Retired</v>
      </c>
    </row>
    <row r="133" spans="1:9" ht="14.25" customHeight="1" x14ac:dyDescent="0.35">
      <c r="A133" s="62">
        <f t="shared" si="5"/>
        <v>132</v>
      </c>
      <c r="B133" s="79">
        <v>75370</v>
      </c>
      <c r="C133" s="61" t="s">
        <v>185</v>
      </c>
      <c r="D133" s="62" t="s">
        <v>18</v>
      </c>
      <c r="E133" s="60">
        <v>138</v>
      </c>
      <c r="F133" s="60">
        <v>2023</v>
      </c>
      <c r="G133" s="60">
        <v>2024</v>
      </c>
      <c r="H133" s="62" t="s">
        <v>53</v>
      </c>
      <c r="I133" s="60" t="str">
        <f t="shared" ca="1" si="4"/>
        <v>Retired</v>
      </c>
    </row>
    <row r="134" spans="1:9" ht="14.25" customHeight="1" x14ac:dyDescent="0.35">
      <c r="A134" s="62">
        <f t="shared" si="5"/>
        <v>133</v>
      </c>
      <c r="B134" s="79">
        <v>75355</v>
      </c>
      <c r="C134" s="61" t="s">
        <v>186</v>
      </c>
      <c r="D134" s="62" t="s">
        <v>18</v>
      </c>
      <c r="E134" s="60">
        <v>1949</v>
      </c>
      <c r="F134" s="60">
        <v>2023</v>
      </c>
      <c r="G134" s="60">
        <v>2025</v>
      </c>
      <c r="H134" s="62" t="s">
        <v>53</v>
      </c>
      <c r="I134" s="60" t="str">
        <f t="shared" ca="1" si="4"/>
        <v>Retired</v>
      </c>
    </row>
    <row r="135" spans="1:9" ht="14.25" customHeight="1" x14ac:dyDescent="0.35">
      <c r="A135" s="62">
        <f t="shared" si="5"/>
        <v>134</v>
      </c>
      <c r="B135" s="79">
        <v>77259</v>
      </c>
      <c r="C135" s="61" t="s">
        <v>187</v>
      </c>
      <c r="D135" s="62" t="s">
        <v>22</v>
      </c>
      <c r="E135" s="60">
        <v>215</v>
      </c>
      <c r="F135" s="60">
        <v>2026</v>
      </c>
      <c r="G135" s="60" t="s">
        <v>52</v>
      </c>
      <c r="H135" s="62" t="s">
        <v>53</v>
      </c>
      <c r="I135" s="60" t="str">
        <f t="shared" ca="1" si="4"/>
        <v>Not Retired</v>
      </c>
    </row>
    <row r="136" spans="1:9" ht="14.25" customHeight="1" x14ac:dyDescent="0.35">
      <c r="A136" s="62">
        <f t="shared" si="5"/>
        <v>135</v>
      </c>
      <c r="B136" s="79">
        <v>76210</v>
      </c>
      <c r="C136" s="61" t="s">
        <v>188</v>
      </c>
      <c r="D136" s="62" t="s">
        <v>24</v>
      </c>
      <c r="E136" s="60">
        <v>4049</v>
      </c>
      <c r="F136" s="60">
        <v>2022</v>
      </c>
      <c r="G136" s="60">
        <v>2024</v>
      </c>
      <c r="H136" s="62" t="s">
        <v>53</v>
      </c>
      <c r="I136" s="60" t="str">
        <f t="shared" ca="1" si="4"/>
        <v>Retired</v>
      </c>
    </row>
    <row r="137" spans="1:9" ht="14.25" customHeight="1" x14ac:dyDescent="0.35">
      <c r="A137" s="62">
        <f t="shared" si="5"/>
        <v>136</v>
      </c>
      <c r="B137" s="79">
        <v>43023</v>
      </c>
      <c r="C137" s="61" t="s">
        <v>189</v>
      </c>
      <c r="D137" s="62" t="s">
        <v>27</v>
      </c>
      <c r="E137" s="60">
        <v>793</v>
      </c>
      <c r="F137" s="60">
        <v>2026</v>
      </c>
      <c r="G137" s="60" t="s">
        <v>52</v>
      </c>
      <c r="H137" s="62" t="s">
        <v>53</v>
      </c>
      <c r="I137" s="60" t="str">
        <f t="shared" ca="1" si="4"/>
        <v>Not Retired</v>
      </c>
    </row>
    <row r="138" spans="1:9" ht="14.25" customHeight="1" x14ac:dyDescent="0.35">
      <c r="A138" s="62">
        <f t="shared" si="5"/>
        <v>137</v>
      </c>
      <c r="B138" s="79">
        <v>43017</v>
      </c>
      <c r="C138" s="61" t="s">
        <v>190</v>
      </c>
      <c r="D138" s="62" t="s">
        <v>27</v>
      </c>
      <c r="E138" s="60">
        <v>793</v>
      </c>
      <c r="F138" s="60">
        <v>2026</v>
      </c>
      <c r="G138" s="60" t="s">
        <v>52</v>
      </c>
      <c r="H138" s="62" t="s">
        <v>53</v>
      </c>
      <c r="I138" s="60" t="str">
        <f t="shared" ca="1" si="4"/>
        <v>Not Retired</v>
      </c>
    </row>
    <row r="139" spans="1:9" ht="14.25" customHeight="1" x14ac:dyDescent="0.35">
      <c r="A139" s="62">
        <f t="shared" si="5"/>
        <v>138</v>
      </c>
      <c r="B139" s="79">
        <v>40917</v>
      </c>
      <c r="C139" s="61" t="s">
        <v>191</v>
      </c>
      <c r="D139" s="62" t="s">
        <v>18</v>
      </c>
      <c r="E139" s="60">
        <v>278</v>
      </c>
      <c r="F139" s="60">
        <v>2026</v>
      </c>
      <c r="G139" s="60">
        <v>2026</v>
      </c>
      <c r="H139" s="62" t="s">
        <v>53</v>
      </c>
      <c r="I139" s="60" t="str">
        <f t="shared" ca="1" si="4"/>
        <v>Not Retired</v>
      </c>
    </row>
    <row r="140" spans="1:9" ht="14.25" customHeight="1" x14ac:dyDescent="0.35">
      <c r="A140" s="62">
        <f t="shared" si="5"/>
        <v>139</v>
      </c>
      <c r="B140" s="79">
        <v>40926</v>
      </c>
      <c r="C140" s="61" t="s">
        <v>192</v>
      </c>
      <c r="D140" s="62" t="s">
        <v>28</v>
      </c>
      <c r="E140" s="60">
        <v>479</v>
      </c>
      <c r="F140" s="60">
        <v>2026</v>
      </c>
      <c r="G140" s="60" t="s">
        <v>52</v>
      </c>
      <c r="H140" s="62" t="s">
        <v>53</v>
      </c>
      <c r="I140" s="60" t="str">
        <f t="shared" ca="1" si="4"/>
        <v>Not Retired</v>
      </c>
    </row>
    <row r="141" spans="1:9" ht="14.25" customHeight="1" x14ac:dyDescent="0.35">
      <c r="A141" s="62">
        <f t="shared" si="5"/>
        <v>140</v>
      </c>
      <c r="B141" s="79">
        <v>21368</v>
      </c>
      <c r="C141" s="61" t="s">
        <v>193</v>
      </c>
      <c r="D141" s="62" t="s">
        <v>21</v>
      </c>
      <c r="E141" s="60">
        <v>964</v>
      </c>
      <c r="F141" s="60">
        <v>2026</v>
      </c>
      <c r="G141" s="60" t="s">
        <v>52</v>
      </c>
      <c r="H141" s="62" t="s">
        <v>53</v>
      </c>
      <c r="I141" s="60" t="str">
        <f t="shared" ca="1" si="4"/>
        <v>Not Retired</v>
      </c>
    </row>
    <row r="142" spans="1:9" ht="14.25" customHeight="1" x14ac:dyDescent="0.35">
      <c r="A142" s="62">
        <f t="shared" si="5"/>
        <v>141</v>
      </c>
      <c r="B142" s="79">
        <v>77260</v>
      </c>
      <c r="C142" s="61" t="s">
        <v>194</v>
      </c>
      <c r="D142" s="62" t="s">
        <v>22</v>
      </c>
      <c r="E142" s="60">
        <v>292</v>
      </c>
      <c r="F142" s="60">
        <v>2026</v>
      </c>
      <c r="G142" s="60" t="s">
        <v>52</v>
      </c>
      <c r="H142" s="62" t="s">
        <v>53</v>
      </c>
      <c r="I142" s="60" t="str">
        <f t="shared" ca="1" si="4"/>
        <v>Not Retired</v>
      </c>
    </row>
    <row r="143" spans="1:9" ht="14.25" customHeight="1" x14ac:dyDescent="0.35">
      <c r="A143" s="62">
        <f t="shared" si="5"/>
        <v>142</v>
      </c>
      <c r="B143" s="79">
        <v>77985</v>
      </c>
      <c r="C143" s="61" t="s">
        <v>195</v>
      </c>
      <c r="D143" s="62" t="s">
        <v>31</v>
      </c>
      <c r="E143" s="60">
        <v>1154</v>
      </c>
      <c r="F143" s="60">
        <v>2026</v>
      </c>
      <c r="G143" s="60" t="s">
        <v>52</v>
      </c>
      <c r="H143" s="62" t="s">
        <v>53</v>
      </c>
      <c r="I143" s="60" t="str">
        <f t="shared" ca="1" si="4"/>
        <v>Not Retired</v>
      </c>
    </row>
    <row r="144" spans="1:9" ht="14.25" customHeight="1" x14ac:dyDescent="0.35">
      <c r="A144" s="62">
        <f t="shared" si="5"/>
        <v>143</v>
      </c>
      <c r="B144" s="79">
        <v>8007</v>
      </c>
      <c r="C144" s="61" t="s">
        <v>197</v>
      </c>
      <c r="D144" s="62" t="s">
        <v>18</v>
      </c>
      <c r="E144" s="60">
        <v>341</v>
      </c>
      <c r="F144" s="60">
        <v>2001</v>
      </c>
      <c r="G144" s="60">
        <v>2002</v>
      </c>
      <c r="H144" s="62" t="s">
        <v>53</v>
      </c>
      <c r="I144" s="60" t="str">
        <f t="shared" ca="1" si="4"/>
        <v>Retired</v>
      </c>
    </row>
    <row r="145" spans="1:9" ht="14.25" customHeight="1" x14ac:dyDescent="0.35">
      <c r="A145" s="62">
        <f t="shared" si="5"/>
        <v>144</v>
      </c>
      <c r="B145" s="79">
        <v>8008</v>
      </c>
      <c r="C145" s="61" t="s">
        <v>198</v>
      </c>
      <c r="D145" s="62" t="s">
        <v>18</v>
      </c>
      <c r="E145" s="60">
        <v>361</v>
      </c>
      <c r="F145" s="60">
        <v>2001</v>
      </c>
      <c r="G145" s="60">
        <v>2002</v>
      </c>
      <c r="H145" s="62" t="s">
        <v>53</v>
      </c>
      <c r="I145" s="60" t="str">
        <f t="shared" ca="1" si="4"/>
        <v>Retired</v>
      </c>
    </row>
    <row r="146" spans="1:9" ht="14.25" customHeight="1" x14ac:dyDescent="0.35">
      <c r="A146" s="62">
        <f t="shared" si="5"/>
        <v>145</v>
      </c>
      <c r="B146" s="79">
        <v>8010</v>
      </c>
      <c r="C146" s="61" t="s">
        <v>196</v>
      </c>
      <c r="D146" s="62" t="s">
        <v>18</v>
      </c>
      <c r="E146" s="60">
        <v>391</v>
      </c>
      <c r="F146" s="60">
        <v>2002</v>
      </c>
      <c r="G146" s="60">
        <v>2003</v>
      </c>
      <c r="H146" s="62" t="s">
        <v>53</v>
      </c>
      <c r="I146" s="60" t="str">
        <f t="shared" ca="1" si="4"/>
        <v>Retired</v>
      </c>
    </row>
    <row r="147" spans="1:9" ht="14.25" customHeight="1" x14ac:dyDescent="0.35">
      <c r="A147" s="62">
        <f t="shared" si="5"/>
        <v>146</v>
      </c>
      <c r="B147" s="79">
        <v>8011</v>
      </c>
      <c r="C147" s="61" t="s">
        <v>119</v>
      </c>
      <c r="D147" s="62" t="s">
        <v>18</v>
      </c>
      <c r="E147" s="60">
        <v>422</v>
      </c>
      <c r="F147" s="60">
        <v>2002</v>
      </c>
      <c r="G147" s="60">
        <v>2003</v>
      </c>
      <c r="H147" s="62" t="s">
        <v>53</v>
      </c>
      <c r="I147" s="60" t="str">
        <f t="shared" ca="1" si="4"/>
        <v>Retired</v>
      </c>
    </row>
    <row r="148" spans="1:9" ht="14.25" customHeight="1" x14ac:dyDescent="0.35">
      <c r="A148" s="62">
        <f t="shared" si="5"/>
        <v>147</v>
      </c>
      <c r="B148" s="79">
        <v>10274</v>
      </c>
      <c r="C148" s="61" t="s">
        <v>199</v>
      </c>
      <c r="D148" s="62" t="s">
        <v>20</v>
      </c>
      <c r="E148" s="60">
        <v>2352</v>
      </c>
      <c r="F148" s="60">
        <v>2020</v>
      </c>
      <c r="G148" s="60">
        <v>2024</v>
      </c>
      <c r="H148" s="62" t="s">
        <v>53</v>
      </c>
      <c r="I148" s="60" t="str">
        <f t="shared" ca="1" si="4"/>
        <v>Retired</v>
      </c>
    </row>
    <row r="149" spans="1:9" ht="14.25" customHeight="1" x14ac:dyDescent="0.35">
      <c r="A149" s="62">
        <f t="shared" si="5"/>
        <v>148</v>
      </c>
      <c r="B149" s="79">
        <v>75389</v>
      </c>
      <c r="C149" s="61" t="s">
        <v>200</v>
      </c>
      <c r="D149" s="62" t="s">
        <v>18</v>
      </c>
      <c r="E149" s="60">
        <v>1579</v>
      </c>
      <c r="F149" s="60">
        <v>2024</v>
      </c>
      <c r="G149" s="60" t="s">
        <v>52</v>
      </c>
      <c r="H149" s="62" t="s">
        <v>53</v>
      </c>
      <c r="I149" s="60" t="str">
        <f t="shared" ca="1" si="4"/>
        <v>Not Retired</v>
      </c>
    </row>
    <row r="150" spans="1:9" ht="14.25" customHeight="1" x14ac:dyDescent="0.35">
      <c r="A150" s="62">
        <f t="shared" si="5"/>
        <v>149</v>
      </c>
      <c r="B150" s="79">
        <v>75461</v>
      </c>
      <c r="C150" s="61" t="s">
        <v>201</v>
      </c>
      <c r="D150" s="62" t="s">
        <v>18</v>
      </c>
      <c r="E150" s="60">
        <v>1028</v>
      </c>
      <c r="F150" s="60">
        <v>2026</v>
      </c>
      <c r="G150" s="60" t="s">
        <v>52</v>
      </c>
      <c r="H150" s="62" t="s">
        <v>53</v>
      </c>
      <c r="I150" s="60" t="str">
        <f t="shared" ca="1" si="4"/>
        <v>Not Retired</v>
      </c>
    </row>
    <row r="151" spans="1:9" ht="14.25" customHeight="1" x14ac:dyDescent="0.35">
      <c r="A151" s="62">
        <f t="shared" si="5"/>
        <v>150</v>
      </c>
      <c r="B151" s="79">
        <v>75458</v>
      </c>
      <c r="C151" s="61" t="s">
        <v>202</v>
      </c>
      <c r="D151" s="62" t="s">
        <v>18</v>
      </c>
      <c r="E151" s="60">
        <v>775</v>
      </c>
      <c r="F151" s="60">
        <v>2026</v>
      </c>
      <c r="G151" s="60" t="s">
        <v>52</v>
      </c>
      <c r="H151" s="62" t="s">
        <v>53</v>
      </c>
      <c r="I151" s="60" t="str">
        <f t="shared" ca="1" si="4"/>
        <v>Not Retired</v>
      </c>
    </row>
    <row r="152" spans="1:9" ht="14.25" customHeight="1" x14ac:dyDescent="0.35">
      <c r="A152" s="62">
        <f t="shared" si="5"/>
        <v>151</v>
      </c>
      <c r="B152" s="79">
        <v>42231</v>
      </c>
      <c r="C152" s="61" t="s">
        <v>203</v>
      </c>
      <c r="D152" s="62" t="s">
        <v>26</v>
      </c>
      <c r="E152" s="60">
        <v>1516</v>
      </c>
      <c r="F152" s="60">
        <v>2026</v>
      </c>
      <c r="G152" s="60" t="s">
        <v>52</v>
      </c>
      <c r="H152" s="62" t="s">
        <v>53</v>
      </c>
      <c r="I152" s="60" t="str">
        <f t="shared" ca="1" si="4"/>
        <v>Not Retired</v>
      </c>
    </row>
    <row r="153" spans="1:9" ht="14.25" customHeight="1" x14ac:dyDescent="0.35">
      <c r="A153" s="62">
        <f t="shared" si="5"/>
        <v>152</v>
      </c>
      <c r="B153" s="79">
        <v>76469</v>
      </c>
      <c r="C153" s="61" t="s">
        <v>204</v>
      </c>
      <c r="D153" s="62" t="s">
        <v>33</v>
      </c>
      <c r="E153" s="60">
        <v>379</v>
      </c>
      <c r="F153" s="60">
        <v>2026</v>
      </c>
      <c r="G153" s="60" t="s">
        <v>52</v>
      </c>
      <c r="H153" s="62" t="s">
        <v>53</v>
      </c>
      <c r="I153" s="60" t="str">
        <f t="shared" ca="1" si="4"/>
        <v>Not Retired</v>
      </c>
    </row>
    <row r="154" spans="1:9" ht="14.25" customHeight="1" x14ac:dyDescent="0.35">
      <c r="A154" s="62">
        <f t="shared" si="5"/>
        <v>153</v>
      </c>
      <c r="B154" s="79">
        <v>76469</v>
      </c>
      <c r="C154" s="61" t="s">
        <v>204</v>
      </c>
      <c r="D154" s="62" t="s">
        <v>33</v>
      </c>
      <c r="E154" s="60">
        <v>379</v>
      </c>
      <c r="F154" s="60">
        <v>2026</v>
      </c>
      <c r="G154" s="60" t="s">
        <v>52</v>
      </c>
      <c r="H154" s="62" t="s">
        <v>53</v>
      </c>
      <c r="I154" s="60" t="str">
        <f t="shared" ca="1" si="4"/>
        <v>Not Retired</v>
      </c>
    </row>
    <row r="155" spans="1:9" ht="14.25" customHeight="1" x14ac:dyDescent="0.35">
      <c r="A155" s="62">
        <f t="shared" si="5"/>
        <v>154</v>
      </c>
      <c r="B155" s="79">
        <v>72423</v>
      </c>
      <c r="C155" s="61" t="s">
        <v>205</v>
      </c>
      <c r="D155" s="62" t="s">
        <v>206</v>
      </c>
      <c r="E155" s="60">
        <v>1403</v>
      </c>
      <c r="F155" s="60">
        <v>2026</v>
      </c>
      <c r="G155" s="60" t="s">
        <v>52</v>
      </c>
      <c r="H155" s="62" t="s">
        <v>53</v>
      </c>
      <c r="I155" s="60" t="str">
        <f t="shared" ca="1" si="4"/>
        <v>Not Retired</v>
      </c>
    </row>
    <row r="156" spans="1:9" ht="14.25" customHeight="1" x14ac:dyDescent="0.35">
      <c r="A156" s="62">
        <f t="shared" si="5"/>
        <v>155</v>
      </c>
      <c r="B156" s="79">
        <v>43032</v>
      </c>
      <c r="C156" s="61" t="s">
        <v>225</v>
      </c>
      <c r="D156" s="62" t="s">
        <v>27</v>
      </c>
      <c r="E156" s="60">
        <v>298</v>
      </c>
      <c r="F156" s="60">
        <v>2026</v>
      </c>
      <c r="G156" s="60" t="s">
        <v>52</v>
      </c>
      <c r="H156" s="62" t="s">
        <v>53</v>
      </c>
      <c r="I156" s="60" t="str">
        <f t="shared" ca="1" si="4"/>
        <v>Not Retired</v>
      </c>
    </row>
    <row r="157" spans="1:9" ht="14.25" customHeight="1" x14ac:dyDescent="0.35">
      <c r="A157" s="62">
        <f t="shared" si="5"/>
        <v>156</v>
      </c>
      <c r="B157" s="79"/>
      <c r="C157" s="61"/>
      <c r="D157" s="62"/>
      <c r="E157" s="60"/>
      <c r="F157" s="60"/>
      <c r="G157" s="60"/>
      <c r="H157" s="62"/>
      <c r="I157" s="60" t="str">
        <f t="shared" ca="1" si="4"/>
        <v/>
      </c>
    </row>
    <row r="158" spans="1:9" ht="14.25" customHeight="1" x14ac:dyDescent="0.35">
      <c r="A158" s="62">
        <f t="shared" si="5"/>
        <v>157</v>
      </c>
      <c r="B158" s="79"/>
      <c r="C158" s="61"/>
      <c r="D158" s="62"/>
      <c r="E158" s="60"/>
      <c r="F158" s="60"/>
      <c r="G158" s="60"/>
      <c r="H158" s="62"/>
      <c r="I158" s="60" t="str">
        <f t="shared" ca="1" si="4"/>
        <v/>
      </c>
    </row>
    <row r="159" spans="1:9" ht="14.25" customHeight="1" x14ac:dyDescent="0.35">
      <c r="A159" s="62">
        <f t="shared" si="5"/>
        <v>158</v>
      </c>
      <c r="B159" s="79"/>
      <c r="C159" s="61"/>
      <c r="D159" s="62"/>
      <c r="E159" s="60"/>
      <c r="F159" s="60"/>
      <c r="G159" s="60"/>
      <c r="H159" s="62"/>
      <c r="I159" s="60" t="str">
        <f t="shared" ca="1" si="4"/>
        <v/>
      </c>
    </row>
    <row r="160" spans="1:9" ht="14.25" customHeight="1" x14ac:dyDescent="0.35">
      <c r="A160" s="62">
        <f t="shared" si="5"/>
        <v>159</v>
      </c>
      <c r="B160" s="79"/>
      <c r="C160" s="61"/>
      <c r="D160" s="62"/>
      <c r="E160" s="60"/>
      <c r="F160" s="60"/>
      <c r="G160" s="60"/>
      <c r="H160" s="62"/>
      <c r="I160" s="60" t="str">
        <f t="shared" ca="1" si="4"/>
        <v/>
      </c>
    </row>
    <row r="161" spans="1:9" ht="14.25" customHeight="1" x14ac:dyDescent="0.35">
      <c r="A161" s="62">
        <f t="shared" si="5"/>
        <v>160</v>
      </c>
      <c r="B161" s="79"/>
      <c r="C161" s="61"/>
      <c r="D161" s="62"/>
      <c r="E161" s="60"/>
      <c r="F161" s="60"/>
      <c r="G161" s="60"/>
      <c r="H161" s="62"/>
      <c r="I161" s="60" t="str">
        <f t="shared" ca="1" si="4"/>
        <v/>
      </c>
    </row>
    <row r="162" spans="1:9" ht="14.25" customHeight="1" x14ac:dyDescent="0.35">
      <c r="A162" s="62">
        <f t="shared" si="5"/>
        <v>161</v>
      </c>
      <c r="B162" s="79"/>
      <c r="C162" s="61"/>
      <c r="D162" s="62"/>
      <c r="E162" s="60"/>
      <c r="F162" s="60"/>
      <c r="G162" s="60"/>
      <c r="H162" s="62"/>
      <c r="I162" s="60" t="str">
        <f t="shared" ca="1" si="4"/>
        <v/>
      </c>
    </row>
    <row r="163" spans="1:9" ht="14.25" customHeight="1" x14ac:dyDescent="0.35">
      <c r="A163" s="62">
        <f t="shared" si="5"/>
        <v>162</v>
      </c>
      <c r="B163" s="79"/>
      <c r="C163" s="61"/>
      <c r="D163" s="62"/>
      <c r="E163" s="60"/>
      <c r="F163" s="60"/>
      <c r="G163" s="60"/>
      <c r="H163" s="62"/>
      <c r="I163" s="60" t="str">
        <f t="shared" ca="1" si="4"/>
        <v/>
      </c>
    </row>
    <row r="164" spans="1:9" ht="14.25" customHeight="1" x14ac:dyDescent="0.35">
      <c r="A164" s="62">
        <f t="shared" si="5"/>
        <v>163</v>
      </c>
      <c r="B164" s="79"/>
      <c r="C164" s="61"/>
      <c r="D164" s="62"/>
      <c r="E164" s="60"/>
      <c r="F164" s="60"/>
      <c r="G164" s="60"/>
      <c r="H164" s="62"/>
      <c r="I164" s="60" t="str">
        <f t="shared" ca="1" si="4"/>
        <v/>
      </c>
    </row>
    <row r="165" spans="1:9" ht="14.25" customHeight="1" x14ac:dyDescent="0.35">
      <c r="A165" s="62">
        <f t="shared" si="5"/>
        <v>164</v>
      </c>
      <c r="B165" s="79"/>
      <c r="C165" s="61"/>
      <c r="D165" s="62"/>
      <c r="E165" s="60"/>
      <c r="F165" s="60"/>
      <c r="G165" s="60"/>
      <c r="H165" s="62"/>
      <c r="I165" s="60" t="str">
        <f t="shared" ca="1" si="4"/>
        <v/>
      </c>
    </row>
    <row r="166" spans="1:9" ht="14.25" customHeight="1" x14ac:dyDescent="0.35">
      <c r="A166" s="62">
        <f t="shared" si="5"/>
        <v>165</v>
      </c>
      <c r="B166" s="79"/>
      <c r="C166" s="61"/>
      <c r="D166" s="62"/>
      <c r="E166" s="60"/>
      <c r="F166" s="60"/>
      <c r="G166" s="60"/>
      <c r="H166" s="62"/>
      <c r="I166" s="60" t="str">
        <f t="shared" ca="1" si="4"/>
        <v/>
      </c>
    </row>
    <row r="167" spans="1:9" ht="14.25" customHeight="1" x14ac:dyDescent="0.35">
      <c r="A167" s="62">
        <f t="shared" si="5"/>
        <v>166</v>
      </c>
      <c r="B167" s="79"/>
      <c r="C167" s="61"/>
      <c r="D167" s="62"/>
      <c r="E167" s="60"/>
      <c r="F167" s="60"/>
      <c r="G167" s="60"/>
      <c r="H167" s="62"/>
      <c r="I167" s="60" t="str">
        <f t="shared" ca="1" si="4"/>
        <v/>
      </c>
    </row>
    <row r="168" spans="1:9" ht="14.25" customHeight="1" x14ac:dyDescent="0.35">
      <c r="A168" s="62">
        <f t="shared" si="5"/>
        <v>167</v>
      </c>
      <c r="B168" s="79"/>
      <c r="C168" s="61"/>
      <c r="D168" s="62"/>
      <c r="E168" s="60"/>
      <c r="F168" s="60"/>
      <c r="G168" s="60"/>
      <c r="H168" s="62"/>
      <c r="I168" s="60" t="str">
        <f t="shared" ca="1" si="4"/>
        <v/>
      </c>
    </row>
    <row r="169" spans="1:9" ht="14.25" customHeight="1" x14ac:dyDescent="0.35">
      <c r="A169" s="62">
        <f t="shared" si="5"/>
        <v>168</v>
      </c>
      <c r="B169" s="79"/>
      <c r="C169" s="61"/>
      <c r="D169" s="62"/>
      <c r="E169" s="60"/>
      <c r="F169" s="60"/>
      <c r="G169" s="60"/>
      <c r="H169" s="62"/>
      <c r="I169" s="60" t="str">
        <f t="shared" ca="1" si="4"/>
        <v/>
      </c>
    </row>
    <row r="170" spans="1:9" ht="14.25" customHeight="1" x14ac:dyDescent="0.35">
      <c r="A170" s="62">
        <f t="shared" si="5"/>
        <v>169</v>
      </c>
      <c r="B170" s="79"/>
      <c r="C170" s="61"/>
      <c r="D170" s="62"/>
      <c r="E170" s="60"/>
      <c r="F170" s="60"/>
      <c r="G170" s="60"/>
      <c r="H170" s="62"/>
      <c r="I170" s="60" t="str">
        <f t="shared" ca="1" si="4"/>
        <v/>
      </c>
    </row>
    <row r="171" spans="1:9" ht="14.25" customHeight="1" x14ac:dyDescent="0.35">
      <c r="A171" s="62">
        <f t="shared" si="5"/>
        <v>170</v>
      </c>
      <c r="B171" s="79"/>
      <c r="C171" s="61"/>
      <c r="D171" s="62"/>
      <c r="E171" s="60"/>
      <c r="F171" s="60"/>
      <c r="G171" s="60"/>
      <c r="H171" s="62"/>
      <c r="I171" s="60" t="str">
        <f t="shared" ca="1" si="4"/>
        <v/>
      </c>
    </row>
    <row r="172" spans="1:9" ht="14.25" customHeight="1" x14ac:dyDescent="0.35">
      <c r="A172" s="62">
        <f t="shared" si="5"/>
        <v>171</v>
      </c>
      <c r="B172" s="79"/>
      <c r="C172" s="61"/>
      <c r="D172" s="62"/>
      <c r="E172" s="60"/>
      <c r="F172" s="60"/>
      <c r="G172" s="60"/>
      <c r="H172" s="62"/>
      <c r="I172" s="60" t="str">
        <f t="shared" ca="1" si="4"/>
        <v/>
      </c>
    </row>
    <row r="173" spans="1:9" ht="14.25" customHeight="1" x14ac:dyDescent="0.35">
      <c r="A173" s="62">
        <f t="shared" si="5"/>
        <v>172</v>
      </c>
      <c r="B173" s="79"/>
      <c r="C173" s="61"/>
      <c r="D173" s="62"/>
      <c r="E173" s="60"/>
      <c r="F173" s="60"/>
      <c r="G173" s="60"/>
      <c r="H173" s="62"/>
      <c r="I173" s="60" t="str">
        <f t="shared" ca="1" si="4"/>
        <v/>
      </c>
    </row>
    <row r="174" spans="1:9" ht="14.25" customHeight="1" x14ac:dyDescent="0.35">
      <c r="A174" s="62">
        <f t="shared" si="5"/>
        <v>173</v>
      </c>
      <c r="B174" s="79"/>
      <c r="C174" s="61"/>
      <c r="D174" s="62"/>
      <c r="E174" s="60"/>
      <c r="F174" s="60"/>
      <c r="G174" s="60"/>
      <c r="H174" s="62"/>
      <c r="I174" s="60" t="str">
        <f t="shared" ca="1" si="4"/>
        <v/>
      </c>
    </row>
    <row r="175" spans="1:9" ht="14.25" customHeight="1" x14ac:dyDescent="0.35">
      <c r="A175" s="62">
        <f t="shared" si="5"/>
        <v>174</v>
      </c>
      <c r="B175" s="79"/>
      <c r="C175" s="61"/>
      <c r="D175" s="62"/>
      <c r="E175" s="60"/>
      <c r="F175" s="60"/>
      <c r="G175" s="60"/>
      <c r="H175" s="62"/>
      <c r="I175" s="60" t="str">
        <f t="shared" ca="1" si="4"/>
        <v/>
      </c>
    </row>
    <row r="176" spans="1:9" ht="14.25" customHeight="1" x14ac:dyDescent="0.35">
      <c r="A176" s="62">
        <f t="shared" si="5"/>
        <v>175</v>
      </c>
      <c r="B176" s="79"/>
      <c r="C176" s="61"/>
      <c r="D176" s="62"/>
      <c r="E176" s="60"/>
      <c r="F176" s="60"/>
      <c r="G176" s="60"/>
      <c r="H176" s="62"/>
      <c r="I176" s="60" t="str">
        <f t="shared" ca="1" si="4"/>
        <v/>
      </c>
    </row>
    <row r="177" spans="1:9" ht="14.25" customHeight="1" x14ac:dyDescent="0.35">
      <c r="A177" s="62">
        <f t="shared" si="5"/>
        <v>176</v>
      </c>
      <c r="B177" s="79"/>
      <c r="C177" s="61"/>
      <c r="D177" s="62"/>
      <c r="E177" s="60"/>
      <c r="F177" s="60"/>
      <c r="G177" s="60"/>
      <c r="H177" s="62"/>
      <c r="I177" s="60" t="str">
        <f t="shared" ca="1" si="4"/>
        <v/>
      </c>
    </row>
    <row r="178" spans="1:9" ht="14.25" customHeight="1" x14ac:dyDescent="0.35">
      <c r="A178" s="62">
        <f t="shared" si="5"/>
        <v>177</v>
      </c>
      <c r="B178" s="79"/>
      <c r="C178" s="61"/>
      <c r="D178" s="62"/>
      <c r="E178" s="60"/>
      <c r="F178" s="60"/>
      <c r="G178" s="60"/>
      <c r="H178" s="62"/>
      <c r="I178" s="60" t="str">
        <f t="shared" ca="1" si="4"/>
        <v/>
      </c>
    </row>
    <row r="179" spans="1:9" ht="14.25" customHeight="1" x14ac:dyDescent="0.35">
      <c r="A179" s="62">
        <f t="shared" si="5"/>
        <v>178</v>
      </c>
      <c r="B179" s="79"/>
      <c r="C179" s="61"/>
      <c r="D179" s="62"/>
      <c r="E179" s="60"/>
      <c r="F179" s="60"/>
      <c r="G179" s="60"/>
      <c r="H179" s="62"/>
      <c r="I179" s="60" t="str">
        <f t="shared" ca="1" si="4"/>
        <v/>
      </c>
    </row>
    <row r="180" spans="1:9" ht="14.25" customHeight="1" x14ac:dyDescent="0.35">
      <c r="A180" s="62">
        <f t="shared" si="5"/>
        <v>179</v>
      </c>
      <c r="B180" s="79"/>
      <c r="C180" s="61"/>
      <c r="D180" s="62"/>
      <c r="E180" s="60"/>
      <c r="F180" s="60"/>
      <c r="G180" s="60"/>
      <c r="H180" s="62"/>
      <c r="I180" s="60" t="str">
        <f t="shared" ca="1" si="4"/>
        <v/>
      </c>
    </row>
    <row r="181" spans="1:9" ht="14.25" customHeight="1" x14ac:dyDescent="0.35">
      <c r="A181" s="62">
        <f t="shared" si="5"/>
        <v>180</v>
      </c>
      <c r="B181" s="79"/>
      <c r="C181" s="61"/>
      <c r="D181" s="62"/>
      <c r="E181" s="60"/>
      <c r="F181" s="60"/>
      <c r="G181" s="60"/>
      <c r="H181" s="62"/>
      <c r="I181" s="60" t="str">
        <f t="shared" ca="1" si="4"/>
        <v/>
      </c>
    </row>
    <row r="182" spans="1:9" ht="14.25" customHeight="1" x14ac:dyDescent="0.35">
      <c r="A182" s="62">
        <f t="shared" si="5"/>
        <v>181</v>
      </c>
      <c r="B182" s="79"/>
      <c r="C182" s="61"/>
      <c r="D182" s="62"/>
      <c r="E182" s="60"/>
      <c r="F182" s="60"/>
      <c r="G182" s="60"/>
      <c r="H182" s="62"/>
      <c r="I182" s="60" t="str">
        <f t="shared" ca="1" si="4"/>
        <v/>
      </c>
    </row>
    <row r="183" spans="1:9" ht="14.25" customHeight="1" x14ac:dyDescent="0.35">
      <c r="A183" s="62">
        <f t="shared" si="5"/>
        <v>182</v>
      </c>
      <c r="B183" s="79"/>
      <c r="C183" s="61"/>
      <c r="D183" s="62"/>
      <c r="E183" s="60"/>
      <c r="F183" s="60"/>
      <c r="G183" s="60"/>
      <c r="H183" s="62"/>
      <c r="I183" s="60" t="str">
        <f t="shared" ca="1" si="4"/>
        <v/>
      </c>
    </row>
    <row r="184" spans="1:9" ht="14.25" customHeight="1" x14ac:dyDescent="0.35">
      <c r="A184" s="62">
        <f t="shared" si="5"/>
        <v>183</v>
      </c>
      <c r="B184" s="79"/>
      <c r="C184" s="61"/>
      <c r="D184" s="62"/>
      <c r="E184" s="60"/>
      <c r="F184" s="60"/>
      <c r="G184" s="60"/>
      <c r="H184" s="62"/>
      <c r="I184" s="60" t="str">
        <f t="shared" ca="1" si="4"/>
        <v/>
      </c>
    </row>
    <row r="185" spans="1:9" ht="14.25" customHeight="1" x14ac:dyDescent="0.35">
      <c r="A185" s="62">
        <f t="shared" si="5"/>
        <v>184</v>
      </c>
      <c r="B185" s="79"/>
      <c r="C185" s="61"/>
      <c r="D185" s="62"/>
      <c r="E185" s="60"/>
      <c r="F185" s="60"/>
      <c r="G185" s="60"/>
      <c r="H185" s="62"/>
      <c r="I185" s="60" t="str">
        <f t="shared" ca="1" si="4"/>
        <v/>
      </c>
    </row>
    <row r="186" spans="1:9" ht="14.25" customHeight="1" x14ac:dyDescent="0.35">
      <c r="A186" s="62">
        <f t="shared" si="5"/>
        <v>185</v>
      </c>
      <c r="B186" s="79"/>
      <c r="C186" s="61"/>
      <c r="D186" s="62"/>
      <c r="E186" s="60"/>
      <c r="F186" s="60"/>
      <c r="G186" s="60"/>
      <c r="H186" s="62"/>
      <c r="I186" s="60" t="str">
        <f t="shared" ca="1" si="4"/>
        <v/>
      </c>
    </row>
    <row r="187" spans="1:9" ht="14.25" customHeight="1" x14ac:dyDescent="0.35">
      <c r="A187" s="62">
        <f t="shared" si="5"/>
        <v>186</v>
      </c>
      <c r="B187" s="79"/>
      <c r="C187" s="61"/>
      <c r="D187" s="62"/>
      <c r="E187" s="60"/>
      <c r="F187" s="60"/>
      <c r="G187" s="60"/>
      <c r="H187" s="62"/>
      <c r="I187" s="60" t="str">
        <f t="shared" ca="1" si="4"/>
        <v/>
      </c>
    </row>
    <row r="188" spans="1:9" ht="14.25" customHeight="1" x14ac:dyDescent="0.35">
      <c r="A188" s="62">
        <f t="shared" si="5"/>
        <v>187</v>
      </c>
      <c r="B188" s="79"/>
      <c r="C188" s="61"/>
      <c r="D188" s="62"/>
      <c r="E188" s="60"/>
      <c r="F188" s="60"/>
      <c r="G188" s="60"/>
      <c r="H188" s="62"/>
      <c r="I188" s="60" t="str">
        <f t="shared" ca="1" si="4"/>
        <v/>
      </c>
    </row>
    <row r="189" spans="1:9" ht="14.25" customHeight="1" x14ac:dyDescent="0.35">
      <c r="A189" s="62">
        <f t="shared" si="5"/>
        <v>188</v>
      </c>
      <c r="B189" s="79"/>
      <c r="C189" s="61"/>
      <c r="D189" s="62"/>
      <c r="E189" s="60"/>
      <c r="F189" s="60"/>
      <c r="G189" s="60"/>
      <c r="H189" s="62"/>
      <c r="I189" s="60" t="str">
        <f t="shared" ca="1" si="4"/>
        <v/>
      </c>
    </row>
    <row r="190" spans="1:9" ht="14.25" customHeight="1" x14ac:dyDescent="0.35">
      <c r="A190" s="62">
        <f t="shared" si="5"/>
        <v>189</v>
      </c>
      <c r="B190" s="79"/>
      <c r="C190" s="61"/>
      <c r="D190" s="62"/>
      <c r="E190" s="60"/>
      <c r="F190" s="60"/>
      <c r="G190" s="60"/>
      <c r="H190" s="62"/>
      <c r="I190" s="60" t="str">
        <f t="shared" ca="1" si="4"/>
        <v/>
      </c>
    </row>
    <row r="191" spans="1:9" ht="14.25" customHeight="1" x14ac:dyDescent="0.35">
      <c r="A191" s="62">
        <f t="shared" si="5"/>
        <v>190</v>
      </c>
      <c r="B191" s="79"/>
      <c r="C191" s="61"/>
      <c r="D191" s="62"/>
      <c r="E191" s="60"/>
      <c r="F191" s="60"/>
      <c r="G191" s="60"/>
      <c r="H191" s="62"/>
      <c r="I191" s="60" t="str">
        <f t="shared" ca="1" si="4"/>
        <v/>
      </c>
    </row>
    <row r="192" spans="1:9" ht="14.25" customHeight="1" x14ac:dyDescent="0.35">
      <c r="A192" s="62">
        <f t="shared" si="5"/>
        <v>191</v>
      </c>
      <c r="B192" s="79"/>
      <c r="C192" s="61"/>
      <c r="D192" s="62"/>
      <c r="E192" s="60"/>
      <c r="F192" s="60"/>
      <c r="G192" s="60"/>
      <c r="H192" s="62"/>
      <c r="I192" s="60" t="str">
        <f t="shared" ca="1" si="4"/>
        <v/>
      </c>
    </row>
    <row r="193" spans="1:9" ht="14.25" customHeight="1" x14ac:dyDescent="0.35">
      <c r="A193" s="62">
        <f t="shared" si="5"/>
        <v>192</v>
      </c>
      <c r="B193" s="79"/>
      <c r="C193" s="61"/>
      <c r="D193" s="62"/>
      <c r="E193" s="60"/>
      <c r="F193" s="60"/>
      <c r="G193" s="60"/>
      <c r="H193" s="62"/>
      <c r="I193" s="60" t="str">
        <f t="shared" ca="1" si="4"/>
        <v/>
      </c>
    </row>
    <row r="194" spans="1:9" ht="14.25" customHeight="1" x14ac:dyDescent="0.35">
      <c r="A194" s="62">
        <f t="shared" si="5"/>
        <v>193</v>
      </c>
      <c r="B194" s="79"/>
      <c r="C194" s="61"/>
      <c r="D194" s="62"/>
      <c r="E194" s="60"/>
      <c r="F194" s="60"/>
      <c r="G194" s="60"/>
      <c r="H194" s="62"/>
      <c r="I194" s="60" t="str">
        <f t="shared" ref="I194:I258" ca="1" si="6">IF(B194="","",IF(G194="-","Not Retired",IF(G194&lt;YEAR(NOW()),"Retired","Not Retired")))</f>
        <v/>
      </c>
    </row>
    <row r="195" spans="1:9" ht="14.25" customHeight="1" x14ac:dyDescent="0.35">
      <c r="A195" s="62">
        <f t="shared" ref="A195:A258" si="7">+A194+1</f>
        <v>194</v>
      </c>
      <c r="B195" s="79"/>
      <c r="C195" s="61"/>
      <c r="D195" s="62"/>
      <c r="E195" s="60"/>
      <c r="F195" s="60"/>
      <c r="G195" s="60"/>
      <c r="H195" s="62"/>
      <c r="I195" s="60" t="str">
        <f t="shared" ca="1" si="6"/>
        <v/>
      </c>
    </row>
    <row r="196" spans="1:9" ht="14.25" customHeight="1" x14ac:dyDescent="0.35">
      <c r="A196" s="62">
        <f t="shared" si="7"/>
        <v>195</v>
      </c>
      <c r="B196" s="79"/>
      <c r="C196" s="61"/>
      <c r="D196" s="62"/>
      <c r="E196" s="60"/>
      <c r="F196" s="60"/>
      <c r="G196" s="60"/>
      <c r="H196" s="62"/>
      <c r="I196" s="60" t="str">
        <f t="shared" ca="1" si="6"/>
        <v/>
      </c>
    </row>
    <row r="197" spans="1:9" ht="14.25" customHeight="1" x14ac:dyDescent="0.35">
      <c r="A197" s="62">
        <f t="shared" si="7"/>
        <v>196</v>
      </c>
      <c r="B197" s="79"/>
      <c r="C197" s="61"/>
      <c r="D197" s="62"/>
      <c r="E197" s="60"/>
      <c r="F197" s="60"/>
      <c r="G197" s="60"/>
      <c r="H197" s="62"/>
      <c r="I197" s="60" t="str">
        <f t="shared" ca="1" si="6"/>
        <v/>
      </c>
    </row>
    <row r="198" spans="1:9" ht="14.25" customHeight="1" x14ac:dyDescent="0.35">
      <c r="A198" s="62">
        <f t="shared" si="7"/>
        <v>197</v>
      </c>
      <c r="B198" s="79"/>
      <c r="C198" s="61"/>
      <c r="D198" s="62"/>
      <c r="E198" s="60"/>
      <c r="F198" s="60"/>
      <c r="G198" s="60"/>
      <c r="H198" s="62"/>
      <c r="I198" s="60" t="str">
        <f t="shared" ca="1" si="6"/>
        <v/>
      </c>
    </row>
    <row r="199" spans="1:9" ht="14.25" customHeight="1" x14ac:dyDescent="0.35">
      <c r="A199" s="62">
        <f t="shared" si="7"/>
        <v>198</v>
      </c>
      <c r="B199" s="79"/>
      <c r="C199" s="61"/>
      <c r="D199" s="62"/>
      <c r="E199" s="60"/>
      <c r="F199" s="60"/>
      <c r="G199" s="60"/>
      <c r="H199" s="62"/>
      <c r="I199" s="60" t="str">
        <f t="shared" ca="1" si="6"/>
        <v/>
      </c>
    </row>
    <row r="200" spans="1:9" ht="14.25" customHeight="1" x14ac:dyDescent="0.35">
      <c r="A200" s="62">
        <f t="shared" si="7"/>
        <v>199</v>
      </c>
      <c r="B200" s="79"/>
      <c r="C200" s="61"/>
      <c r="D200" s="62"/>
      <c r="E200" s="60"/>
      <c r="F200" s="60"/>
      <c r="G200" s="60"/>
      <c r="H200" s="62"/>
      <c r="I200" s="60" t="str">
        <f t="shared" ca="1" si="6"/>
        <v/>
      </c>
    </row>
    <row r="201" spans="1:9" ht="14.25" customHeight="1" x14ac:dyDescent="0.35">
      <c r="A201" s="62">
        <f t="shared" si="7"/>
        <v>200</v>
      </c>
      <c r="B201" s="79"/>
      <c r="C201" s="61"/>
      <c r="D201" s="62"/>
      <c r="E201" s="60"/>
      <c r="F201" s="60"/>
      <c r="G201" s="60"/>
      <c r="H201" s="62"/>
      <c r="I201" s="60" t="str">
        <f t="shared" ca="1" si="6"/>
        <v/>
      </c>
    </row>
    <row r="202" spans="1:9" ht="14.25" customHeight="1" x14ac:dyDescent="0.35">
      <c r="A202" s="62">
        <f t="shared" si="7"/>
        <v>201</v>
      </c>
      <c r="B202" s="79"/>
      <c r="C202" s="61"/>
      <c r="D202" s="62"/>
      <c r="E202" s="60"/>
      <c r="F202" s="60"/>
      <c r="G202" s="60"/>
      <c r="H202" s="62"/>
      <c r="I202" s="60" t="str">
        <f t="shared" ca="1" si="6"/>
        <v/>
      </c>
    </row>
    <row r="203" spans="1:9" ht="14.25" customHeight="1" x14ac:dyDescent="0.35">
      <c r="A203" s="62">
        <f t="shared" si="7"/>
        <v>202</v>
      </c>
      <c r="B203" s="79"/>
      <c r="C203" s="61"/>
      <c r="D203" s="62"/>
      <c r="E203" s="60"/>
      <c r="F203" s="60"/>
      <c r="G203" s="60"/>
      <c r="H203" s="62"/>
      <c r="I203" s="60" t="str">
        <f t="shared" ca="1" si="6"/>
        <v/>
      </c>
    </row>
    <row r="204" spans="1:9" ht="14.25" customHeight="1" x14ac:dyDescent="0.35">
      <c r="A204" s="62">
        <f t="shared" si="7"/>
        <v>203</v>
      </c>
      <c r="B204" s="79"/>
      <c r="C204" s="61"/>
      <c r="D204" s="62"/>
      <c r="E204" s="60"/>
      <c r="F204" s="60"/>
      <c r="G204" s="60"/>
      <c r="H204" s="62"/>
      <c r="I204" s="60" t="str">
        <f t="shared" ca="1" si="6"/>
        <v/>
      </c>
    </row>
    <row r="205" spans="1:9" ht="14.25" customHeight="1" x14ac:dyDescent="0.35">
      <c r="A205" s="62">
        <f t="shared" si="7"/>
        <v>204</v>
      </c>
      <c r="B205" s="79"/>
      <c r="C205" s="61"/>
      <c r="D205" s="62"/>
      <c r="E205" s="60"/>
      <c r="F205" s="60"/>
      <c r="G205" s="60"/>
      <c r="H205" s="62"/>
      <c r="I205" s="60" t="str">
        <f t="shared" ca="1" si="6"/>
        <v/>
      </c>
    </row>
    <row r="206" spans="1:9" ht="14.25" customHeight="1" x14ac:dyDescent="0.35">
      <c r="A206" s="62">
        <f t="shared" si="7"/>
        <v>205</v>
      </c>
      <c r="B206" s="79"/>
      <c r="C206" s="61"/>
      <c r="D206" s="62"/>
      <c r="E206" s="60"/>
      <c r="F206" s="60"/>
      <c r="G206" s="60"/>
      <c r="H206" s="62"/>
      <c r="I206" s="60" t="str">
        <f t="shared" ca="1" si="6"/>
        <v/>
      </c>
    </row>
    <row r="207" spans="1:9" ht="14.25" customHeight="1" x14ac:dyDescent="0.35">
      <c r="A207" s="62">
        <f t="shared" si="7"/>
        <v>206</v>
      </c>
      <c r="B207" s="79"/>
      <c r="C207" s="61"/>
      <c r="D207" s="62"/>
      <c r="E207" s="60"/>
      <c r="F207" s="60"/>
      <c r="G207" s="60"/>
      <c r="H207" s="62"/>
      <c r="I207" s="60" t="str">
        <f t="shared" ca="1" si="6"/>
        <v/>
      </c>
    </row>
    <row r="208" spans="1:9" ht="14.25" customHeight="1" x14ac:dyDescent="0.35">
      <c r="A208" s="62">
        <f t="shared" si="7"/>
        <v>207</v>
      </c>
      <c r="B208" s="79"/>
      <c r="C208" s="61"/>
      <c r="D208" s="62"/>
      <c r="E208" s="60"/>
      <c r="F208" s="60"/>
      <c r="G208" s="60"/>
      <c r="H208" s="62"/>
      <c r="I208" s="60" t="str">
        <f t="shared" ca="1" si="6"/>
        <v/>
      </c>
    </row>
    <row r="209" spans="1:9" ht="14.25" customHeight="1" x14ac:dyDescent="0.35">
      <c r="A209" s="62">
        <f t="shared" si="7"/>
        <v>208</v>
      </c>
      <c r="B209" s="79"/>
      <c r="C209" s="61"/>
      <c r="D209" s="62"/>
      <c r="E209" s="60"/>
      <c r="F209" s="60"/>
      <c r="G209" s="60"/>
      <c r="H209" s="62"/>
      <c r="I209" s="60" t="str">
        <f t="shared" ca="1" si="6"/>
        <v/>
      </c>
    </row>
    <row r="210" spans="1:9" ht="14.25" customHeight="1" x14ac:dyDescent="0.35">
      <c r="A210" s="62">
        <f t="shared" si="7"/>
        <v>209</v>
      </c>
      <c r="B210" s="79"/>
      <c r="C210" s="61"/>
      <c r="D210" s="62"/>
      <c r="E210" s="60"/>
      <c r="F210" s="60"/>
      <c r="G210" s="60"/>
      <c r="H210" s="62"/>
      <c r="I210" s="60" t="str">
        <f t="shared" ca="1" si="6"/>
        <v/>
      </c>
    </row>
    <row r="211" spans="1:9" ht="14.25" customHeight="1" x14ac:dyDescent="0.35">
      <c r="A211" s="62">
        <f t="shared" si="7"/>
        <v>210</v>
      </c>
      <c r="B211" s="79"/>
      <c r="C211" s="61"/>
      <c r="D211" s="62"/>
      <c r="E211" s="60"/>
      <c r="F211" s="60"/>
      <c r="G211" s="60"/>
      <c r="H211" s="62"/>
      <c r="I211" s="60" t="str">
        <f t="shared" ca="1" si="6"/>
        <v/>
      </c>
    </row>
    <row r="212" spans="1:9" ht="14.25" customHeight="1" x14ac:dyDescent="0.35">
      <c r="A212" s="62">
        <f t="shared" si="7"/>
        <v>211</v>
      </c>
      <c r="B212" s="79"/>
      <c r="C212" s="61"/>
      <c r="D212" s="62"/>
      <c r="E212" s="60"/>
      <c r="F212" s="60"/>
      <c r="G212" s="60"/>
      <c r="H212" s="62"/>
      <c r="I212" s="60" t="str">
        <f t="shared" ca="1" si="6"/>
        <v/>
      </c>
    </row>
    <row r="213" spans="1:9" ht="14.25" customHeight="1" x14ac:dyDescent="0.35">
      <c r="A213" s="62">
        <f t="shared" si="7"/>
        <v>212</v>
      </c>
      <c r="B213" s="79"/>
      <c r="C213" s="61"/>
      <c r="D213" s="62"/>
      <c r="E213" s="60"/>
      <c r="F213" s="60"/>
      <c r="G213" s="60"/>
      <c r="H213" s="62"/>
      <c r="I213" s="60" t="str">
        <f t="shared" ca="1" si="6"/>
        <v/>
      </c>
    </row>
    <row r="214" spans="1:9" ht="14.25" customHeight="1" x14ac:dyDescent="0.35">
      <c r="A214" s="62">
        <f t="shared" si="7"/>
        <v>213</v>
      </c>
      <c r="B214" s="79"/>
      <c r="C214" s="61"/>
      <c r="D214" s="62"/>
      <c r="E214" s="60"/>
      <c r="F214" s="60"/>
      <c r="G214" s="60"/>
      <c r="H214" s="62"/>
      <c r="I214" s="60" t="str">
        <f t="shared" ca="1" si="6"/>
        <v/>
      </c>
    </row>
    <row r="215" spans="1:9" ht="14.25" customHeight="1" x14ac:dyDescent="0.35">
      <c r="A215" s="62">
        <f t="shared" si="7"/>
        <v>214</v>
      </c>
      <c r="B215" s="79"/>
      <c r="C215" s="61"/>
      <c r="D215" s="62"/>
      <c r="E215" s="60"/>
      <c r="F215" s="60"/>
      <c r="G215" s="60"/>
      <c r="H215" s="62"/>
      <c r="I215" s="60" t="str">
        <f t="shared" ca="1" si="6"/>
        <v/>
      </c>
    </row>
    <row r="216" spans="1:9" ht="14.25" customHeight="1" x14ac:dyDescent="0.35">
      <c r="A216" s="62">
        <f t="shared" si="7"/>
        <v>215</v>
      </c>
      <c r="B216" s="79"/>
      <c r="C216" s="61"/>
      <c r="D216" s="62"/>
      <c r="E216" s="60"/>
      <c r="F216" s="60"/>
      <c r="G216" s="60"/>
      <c r="H216" s="62"/>
      <c r="I216" s="60" t="str">
        <f t="shared" ca="1" si="6"/>
        <v/>
      </c>
    </row>
    <row r="217" spans="1:9" ht="14.25" customHeight="1" x14ac:dyDescent="0.35">
      <c r="A217" s="62">
        <f t="shared" si="7"/>
        <v>216</v>
      </c>
      <c r="B217" s="79"/>
      <c r="C217" s="61"/>
      <c r="D217" s="62"/>
      <c r="E217" s="60"/>
      <c r="F217" s="60"/>
      <c r="G217" s="60"/>
      <c r="H217" s="62"/>
      <c r="I217" s="60" t="str">
        <f t="shared" ca="1" si="6"/>
        <v/>
      </c>
    </row>
    <row r="218" spans="1:9" ht="14.25" customHeight="1" x14ac:dyDescent="0.35">
      <c r="A218" s="62">
        <f t="shared" si="7"/>
        <v>217</v>
      </c>
      <c r="B218" s="79"/>
      <c r="C218" s="61"/>
      <c r="D218" s="62"/>
      <c r="E218" s="60"/>
      <c r="F218" s="60"/>
      <c r="G218" s="60"/>
      <c r="H218" s="62"/>
      <c r="I218" s="60" t="str">
        <f t="shared" ca="1" si="6"/>
        <v/>
      </c>
    </row>
    <row r="219" spans="1:9" ht="14.25" customHeight="1" x14ac:dyDescent="0.35">
      <c r="A219" s="62">
        <f t="shared" si="7"/>
        <v>218</v>
      </c>
      <c r="B219" s="79"/>
      <c r="C219" s="61"/>
      <c r="D219" s="62"/>
      <c r="E219" s="60"/>
      <c r="F219" s="60"/>
      <c r="G219" s="60"/>
      <c r="H219" s="62"/>
      <c r="I219" s="60" t="str">
        <f t="shared" ca="1" si="6"/>
        <v/>
      </c>
    </row>
    <row r="220" spans="1:9" ht="14.25" customHeight="1" x14ac:dyDescent="0.35">
      <c r="A220" s="62">
        <f t="shared" si="7"/>
        <v>219</v>
      </c>
      <c r="B220" s="79"/>
      <c r="C220" s="61"/>
      <c r="D220" s="62"/>
      <c r="E220" s="60"/>
      <c r="F220" s="60"/>
      <c r="G220" s="60"/>
      <c r="H220" s="62"/>
      <c r="I220" s="60" t="str">
        <f t="shared" ca="1" si="6"/>
        <v/>
      </c>
    </row>
    <row r="221" spans="1:9" ht="14.25" customHeight="1" x14ac:dyDescent="0.35">
      <c r="A221" s="62">
        <f t="shared" si="7"/>
        <v>220</v>
      </c>
      <c r="B221" s="79"/>
      <c r="C221" s="61"/>
      <c r="D221" s="62"/>
      <c r="E221" s="60"/>
      <c r="F221" s="60"/>
      <c r="G221" s="60"/>
      <c r="H221" s="62"/>
      <c r="I221" s="60" t="str">
        <f t="shared" ca="1" si="6"/>
        <v/>
      </c>
    </row>
    <row r="222" spans="1:9" ht="14.25" customHeight="1" x14ac:dyDescent="0.35">
      <c r="A222" s="62">
        <f t="shared" si="7"/>
        <v>221</v>
      </c>
      <c r="B222" s="79"/>
      <c r="C222" s="61"/>
      <c r="D222" s="62"/>
      <c r="E222" s="60"/>
      <c r="F222" s="60"/>
      <c r="G222" s="60"/>
      <c r="H222" s="62"/>
      <c r="I222" s="60" t="str">
        <f t="shared" ca="1" si="6"/>
        <v/>
      </c>
    </row>
    <row r="223" spans="1:9" ht="14.25" customHeight="1" x14ac:dyDescent="0.35">
      <c r="A223" s="62">
        <f t="shared" si="7"/>
        <v>222</v>
      </c>
      <c r="B223" s="79"/>
      <c r="C223" s="61"/>
      <c r="D223" s="62"/>
      <c r="E223" s="60"/>
      <c r="F223" s="60"/>
      <c r="G223" s="60"/>
      <c r="H223" s="62"/>
      <c r="I223" s="60" t="str">
        <f t="shared" ca="1" si="6"/>
        <v/>
      </c>
    </row>
    <row r="224" spans="1:9" ht="14.25" customHeight="1" x14ac:dyDescent="0.35">
      <c r="A224" s="62">
        <f t="shared" si="7"/>
        <v>223</v>
      </c>
      <c r="B224" s="79"/>
      <c r="C224" s="61"/>
      <c r="D224" s="62"/>
      <c r="E224" s="60"/>
      <c r="F224" s="60"/>
      <c r="G224" s="60"/>
      <c r="H224" s="62"/>
      <c r="I224" s="60" t="str">
        <f t="shared" ca="1" si="6"/>
        <v/>
      </c>
    </row>
    <row r="225" spans="1:9" ht="14.25" customHeight="1" x14ac:dyDescent="0.35">
      <c r="A225" s="62">
        <f t="shared" si="7"/>
        <v>224</v>
      </c>
      <c r="B225" s="79"/>
      <c r="C225" s="61"/>
      <c r="D225" s="62"/>
      <c r="E225" s="60"/>
      <c r="F225" s="60"/>
      <c r="G225" s="60"/>
      <c r="H225" s="62"/>
      <c r="I225" s="60" t="str">
        <f t="shared" ca="1" si="6"/>
        <v/>
      </c>
    </row>
    <row r="226" spans="1:9" ht="14.25" customHeight="1" x14ac:dyDescent="0.35">
      <c r="A226" s="62">
        <f t="shared" si="7"/>
        <v>225</v>
      </c>
      <c r="B226" s="79"/>
      <c r="C226" s="61"/>
      <c r="D226" s="62"/>
      <c r="E226" s="60"/>
      <c r="F226" s="60"/>
      <c r="G226" s="60"/>
      <c r="H226" s="62"/>
      <c r="I226" s="60" t="str">
        <f t="shared" ca="1" si="6"/>
        <v/>
      </c>
    </row>
    <row r="227" spans="1:9" ht="14.25" customHeight="1" x14ac:dyDescent="0.35">
      <c r="A227" s="62">
        <f t="shared" si="7"/>
        <v>226</v>
      </c>
      <c r="B227" s="79"/>
      <c r="C227" s="61"/>
      <c r="D227" s="62"/>
      <c r="E227" s="60"/>
      <c r="F227" s="60"/>
      <c r="G227" s="60"/>
      <c r="H227" s="62"/>
      <c r="I227" s="60" t="str">
        <f t="shared" ca="1" si="6"/>
        <v/>
      </c>
    </row>
    <row r="228" spans="1:9" ht="14.25" customHeight="1" x14ac:dyDescent="0.35">
      <c r="A228" s="62">
        <f t="shared" si="7"/>
        <v>227</v>
      </c>
      <c r="B228" s="79"/>
      <c r="C228" s="61"/>
      <c r="D228" s="62"/>
      <c r="E228" s="60"/>
      <c r="F228" s="60"/>
      <c r="G228" s="60"/>
      <c r="H228" s="62"/>
      <c r="I228" s="60" t="str">
        <f t="shared" ca="1" si="6"/>
        <v/>
      </c>
    </row>
    <row r="229" spans="1:9" ht="14.25" customHeight="1" x14ac:dyDescent="0.35">
      <c r="A229" s="62">
        <f t="shared" si="7"/>
        <v>228</v>
      </c>
      <c r="B229" s="79"/>
      <c r="C229" s="61"/>
      <c r="D229" s="62"/>
      <c r="E229" s="60"/>
      <c r="F229" s="60"/>
      <c r="G229" s="60"/>
      <c r="H229" s="62"/>
      <c r="I229" s="60" t="str">
        <f t="shared" ca="1" si="6"/>
        <v/>
      </c>
    </row>
    <row r="230" spans="1:9" ht="14.25" customHeight="1" x14ac:dyDescent="0.35">
      <c r="A230" s="62">
        <f t="shared" si="7"/>
        <v>229</v>
      </c>
      <c r="B230" s="79"/>
      <c r="C230" s="61"/>
      <c r="D230" s="62"/>
      <c r="E230" s="60"/>
      <c r="F230" s="60"/>
      <c r="G230" s="60"/>
      <c r="H230" s="62"/>
      <c r="I230" s="60" t="str">
        <f t="shared" ca="1" si="6"/>
        <v/>
      </c>
    </row>
    <row r="231" spans="1:9" ht="14.25" customHeight="1" x14ac:dyDescent="0.35">
      <c r="A231" s="62">
        <f t="shared" si="7"/>
        <v>230</v>
      </c>
      <c r="B231" s="79"/>
      <c r="C231" s="61"/>
      <c r="D231" s="62"/>
      <c r="E231" s="60"/>
      <c r="F231" s="60"/>
      <c r="G231" s="60"/>
      <c r="H231" s="62"/>
      <c r="I231" s="60" t="str">
        <f t="shared" ca="1" si="6"/>
        <v/>
      </c>
    </row>
    <row r="232" spans="1:9" ht="14.25" customHeight="1" x14ac:dyDescent="0.35">
      <c r="A232" s="62">
        <f t="shared" si="7"/>
        <v>231</v>
      </c>
      <c r="B232" s="79"/>
      <c r="C232" s="61"/>
      <c r="D232" s="62"/>
      <c r="E232" s="60"/>
      <c r="F232" s="60"/>
      <c r="G232" s="60"/>
      <c r="H232" s="62"/>
      <c r="I232" s="60" t="str">
        <f t="shared" ca="1" si="6"/>
        <v/>
      </c>
    </row>
    <row r="233" spans="1:9" ht="14.25" customHeight="1" x14ac:dyDescent="0.35">
      <c r="A233" s="62">
        <f t="shared" si="7"/>
        <v>232</v>
      </c>
      <c r="B233" s="79"/>
      <c r="C233" s="61"/>
      <c r="D233" s="62"/>
      <c r="E233" s="60"/>
      <c r="F233" s="60"/>
      <c r="G233" s="60"/>
      <c r="H233" s="62"/>
      <c r="I233" s="60" t="str">
        <f t="shared" ca="1" si="6"/>
        <v/>
      </c>
    </row>
    <row r="234" spans="1:9" ht="14.25" customHeight="1" x14ac:dyDescent="0.35">
      <c r="A234" s="62">
        <f t="shared" si="7"/>
        <v>233</v>
      </c>
      <c r="B234" s="79"/>
      <c r="C234" s="61"/>
      <c r="D234" s="62"/>
      <c r="E234" s="60"/>
      <c r="F234" s="60"/>
      <c r="G234" s="60"/>
      <c r="H234" s="62"/>
      <c r="I234" s="60" t="str">
        <f t="shared" ca="1" si="6"/>
        <v/>
      </c>
    </row>
    <row r="235" spans="1:9" ht="14.25" customHeight="1" x14ac:dyDescent="0.35">
      <c r="A235" s="62">
        <f t="shared" si="7"/>
        <v>234</v>
      </c>
      <c r="B235" s="79"/>
      <c r="C235" s="61"/>
      <c r="D235" s="62"/>
      <c r="E235" s="60"/>
      <c r="F235" s="60"/>
      <c r="G235" s="60"/>
      <c r="H235" s="62"/>
      <c r="I235" s="60" t="str">
        <f t="shared" ca="1" si="6"/>
        <v/>
      </c>
    </row>
    <row r="236" spans="1:9" ht="14.25" customHeight="1" x14ac:dyDescent="0.35">
      <c r="A236" s="62">
        <f t="shared" si="7"/>
        <v>235</v>
      </c>
      <c r="B236" s="79"/>
      <c r="C236" s="61"/>
      <c r="D236" s="62"/>
      <c r="E236" s="60"/>
      <c r="F236" s="60"/>
      <c r="G236" s="60"/>
      <c r="H236" s="62"/>
      <c r="I236" s="60" t="str">
        <f t="shared" ca="1" si="6"/>
        <v/>
      </c>
    </row>
    <row r="237" spans="1:9" ht="14.25" customHeight="1" x14ac:dyDescent="0.35">
      <c r="A237" s="62">
        <f t="shared" si="7"/>
        <v>236</v>
      </c>
      <c r="B237" s="79"/>
      <c r="C237" s="61"/>
      <c r="D237" s="62"/>
      <c r="E237" s="60"/>
      <c r="F237" s="60"/>
      <c r="G237" s="60"/>
      <c r="H237" s="62"/>
      <c r="I237" s="60" t="str">
        <f t="shared" ca="1" si="6"/>
        <v/>
      </c>
    </row>
    <row r="238" spans="1:9" ht="14.25" customHeight="1" x14ac:dyDescent="0.35">
      <c r="A238" s="62">
        <f t="shared" si="7"/>
        <v>237</v>
      </c>
      <c r="B238" s="79"/>
      <c r="C238" s="61"/>
      <c r="D238" s="62"/>
      <c r="E238" s="60"/>
      <c r="F238" s="60"/>
      <c r="G238" s="60"/>
      <c r="H238" s="62"/>
      <c r="I238" s="60" t="str">
        <f t="shared" ca="1" si="6"/>
        <v/>
      </c>
    </row>
    <row r="239" spans="1:9" ht="14.25" customHeight="1" x14ac:dyDescent="0.35">
      <c r="A239" s="62">
        <f t="shared" si="7"/>
        <v>238</v>
      </c>
      <c r="B239" s="79"/>
      <c r="C239" s="61"/>
      <c r="D239" s="62"/>
      <c r="E239" s="60"/>
      <c r="F239" s="60"/>
      <c r="G239" s="60"/>
      <c r="H239" s="62"/>
      <c r="I239" s="60" t="str">
        <f t="shared" ca="1" si="6"/>
        <v/>
      </c>
    </row>
    <row r="240" spans="1:9" ht="14.25" customHeight="1" x14ac:dyDescent="0.35">
      <c r="A240" s="62">
        <f t="shared" si="7"/>
        <v>239</v>
      </c>
      <c r="B240" s="79"/>
      <c r="C240" s="61"/>
      <c r="D240" s="62"/>
      <c r="E240" s="60"/>
      <c r="F240" s="60"/>
      <c r="G240" s="60"/>
      <c r="H240" s="62"/>
      <c r="I240" s="60" t="str">
        <f t="shared" ca="1" si="6"/>
        <v/>
      </c>
    </row>
    <row r="241" spans="1:9" ht="14.25" customHeight="1" x14ac:dyDescent="0.35">
      <c r="A241" s="62">
        <f t="shared" si="7"/>
        <v>240</v>
      </c>
      <c r="B241" s="79"/>
      <c r="C241" s="61"/>
      <c r="D241" s="62"/>
      <c r="E241" s="60"/>
      <c r="F241" s="60"/>
      <c r="G241" s="60"/>
      <c r="H241" s="62"/>
      <c r="I241" s="60" t="str">
        <f t="shared" ca="1" si="6"/>
        <v/>
      </c>
    </row>
    <row r="242" spans="1:9" ht="14.25" customHeight="1" x14ac:dyDescent="0.35">
      <c r="A242" s="62">
        <f t="shared" si="7"/>
        <v>241</v>
      </c>
      <c r="B242" s="79"/>
      <c r="C242" s="61"/>
      <c r="D242" s="62"/>
      <c r="E242" s="60"/>
      <c r="F242" s="60"/>
      <c r="G242" s="60"/>
      <c r="H242" s="62"/>
      <c r="I242" s="60" t="str">
        <f t="shared" ca="1" si="6"/>
        <v/>
      </c>
    </row>
    <row r="243" spans="1:9" ht="14.25" customHeight="1" x14ac:dyDescent="0.35">
      <c r="A243" s="62">
        <f t="shared" si="7"/>
        <v>242</v>
      </c>
      <c r="B243" s="79"/>
      <c r="C243" s="61"/>
      <c r="D243" s="62"/>
      <c r="E243" s="60"/>
      <c r="F243" s="60"/>
      <c r="G243" s="60"/>
      <c r="H243" s="62"/>
      <c r="I243" s="60" t="str">
        <f t="shared" ca="1" si="6"/>
        <v/>
      </c>
    </row>
    <row r="244" spans="1:9" ht="14.25" customHeight="1" x14ac:dyDescent="0.35">
      <c r="A244" s="62">
        <f t="shared" si="7"/>
        <v>243</v>
      </c>
      <c r="B244" s="79"/>
      <c r="C244" s="61"/>
      <c r="D244" s="62"/>
      <c r="E244" s="60"/>
      <c r="F244" s="60"/>
      <c r="G244" s="60"/>
      <c r="H244" s="62"/>
      <c r="I244" s="60" t="str">
        <f t="shared" ca="1" si="6"/>
        <v/>
      </c>
    </row>
    <row r="245" spans="1:9" ht="14.25" customHeight="1" x14ac:dyDescent="0.35">
      <c r="A245" s="62">
        <f t="shared" si="7"/>
        <v>244</v>
      </c>
      <c r="B245" s="79"/>
      <c r="C245" s="61"/>
      <c r="D245" s="62"/>
      <c r="E245" s="60"/>
      <c r="F245" s="60"/>
      <c r="G245" s="60"/>
      <c r="H245" s="62"/>
      <c r="I245" s="60" t="str">
        <f t="shared" ca="1" si="6"/>
        <v/>
      </c>
    </row>
    <row r="246" spans="1:9" ht="14.25" customHeight="1" x14ac:dyDescent="0.35">
      <c r="A246" s="62">
        <f t="shared" si="7"/>
        <v>245</v>
      </c>
      <c r="B246" s="79"/>
      <c r="C246" s="61"/>
      <c r="D246" s="62"/>
      <c r="E246" s="60"/>
      <c r="F246" s="60"/>
      <c r="G246" s="60"/>
      <c r="H246" s="62"/>
      <c r="I246" s="60" t="str">
        <f t="shared" ca="1" si="6"/>
        <v/>
      </c>
    </row>
    <row r="247" spans="1:9" ht="14.25" customHeight="1" x14ac:dyDescent="0.35">
      <c r="A247" s="62">
        <f t="shared" si="7"/>
        <v>246</v>
      </c>
      <c r="B247" s="79"/>
      <c r="C247" s="61"/>
      <c r="D247" s="62"/>
      <c r="E247" s="60"/>
      <c r="F247" s="60"/>
      <c r="G247" s="60"/>
      <c r="H247" s="62"/>
      <c r="I247" s="60" t="str">
        <f t="shared" ca="1" si="6"/>
        <v/>
      </c>
    </row>
    <row r="248" spans="1:9" ht="14.25" customHeight="1" x14ac:dyDescent="0.35">
      <c r="A248" s="62">
        <f t="shared" si="7"/>
        <v>247</v>
      </c>
      <c r="B248" s="79"/>
      <c r="C248" s="61"/>
      <c r="D248" s="62"/>
      <c r="E248" s="60"/>
      <c r="F248" s="60"/>
      <c r="G248" s="60"/>
      <c r="H248" s="62"/>
      <c r="I248" s="60" t="str">
        <f t="shared" ca="1" si="6"/>
        <v/>
      </c>
    </row>
    <row r="249" spans="1:9" ht="14.25" customHeight="1" x14ac:dyDescent="0.35">
      <c r="A249" s="62">
        <f t="shared" si="7"/>
        <v>248</v>
      </c>
      <c r="B249" s="79"/>
      <c r="C249" s="61"/>
      <c r="D249" s="62"/>
      <c r="E249" s="60"/>
      <c r="F249" s="60"/>
      <c r="G249" s="60"/>
      <c r="H249" s="62"/>
      <c r="I249" s="60" t="str">
        <f t="shared" ca="1" si="6"/>
        <v/>
      </c>
    </row>
    <row r="250" spans="1:9" ht="14.25" customHeight="1" x14ac:dyDescent="0.35">
      <c r="A250" s="62">
        <f t="shared" si="7"/>
        <v>249</v>
      </c>
      <c r="B250" s="79"/>
      <c r="C250" s="61"/>
      <c r="D250" s="62"/>
      <c r="E250" s="60"/>
      <c r="F250" s="60"/>
      <c r="G250" s="60"/>
      <c r="H250" s="62"/>
      <c r="I250" s="60" t="str">
        <f t="shared" ca="1" si="6"/>
        <v/>
      </c>
    </row>
    <row r="251" spans="1:9" ht="14.25" customHeight="1" x14ac:dyDescent="0.35">
      <c r="A251" s="62">
        <f t="shared" si="7"/>
        <v>250</v>
      </c>
      <c r="B251" s="79"/>
      <c r="C251" s="61"/>
      <c r="D251" s="62"/>
      <c r="E251" s="60"/>
      <c r="F251" s="60"/>
      <c r="G251" s="60"/>
      <c r="H251" s="62"/>
      <c r="I251" s="60" t="str">
        <f t="shared" ca="1" si="6"/>
        <v/>
      </c>
    </row>
    <row r="252" spans="1:9" ht="14.25" customHeight="1" x14ac:dyDescent="0.35">
      <c r="A252" s="62">
        <f t="shared" si="7"/>
        <v>251</v>
      </c>
      <c r="B252" s="79"/>
      <c r="C252" s="61"/>
      <c r="D252" s="62"/>
      <c r="E252" s="60"/>
      <c r="F252" s="60"/>
      <c r="G252" s="60"/>
      <c r="H252" s="62"/>
      <c r="I252" s="60" t="str">
        <f t="shared" ca="1" si="6"/>
        <v/>
      </c>
    </row>
    <row r="253" spans="1:9" ht="14.25" customHeight="1" x14ac:dyDescent="0.35">
      <c r="A253" s="62">
        <f t="shared" si="7"/>
        <v>252</v>
      </c>
      <c r="B253" s="79"/>
      <c r="C253" s="61"/>
      <c r="D253" s="62"/>
      <c r="E253" s="60"/>
      <c r="F253" s="60"/>
      <c r="G253" s="60"/>
      <c r="H253" s="62"/>
      <c r="I253" s="60" t="str">
        <f t="shared" ca="1" si="6"/>
        <v/>
      </c>
    </row>
    <row r="254" spans="1:9" ht="14.25" customHeight="1" x14ac:dyDescent="0.35">
      <c r="A254" s="62">
        <f t="shared" si="7"/>
        <v>253</v>
      </c>
      <c r="B254" s="79"/>
      <c r="C254" s="61"/>
      <c r="D254" s="62"/>
      <c r="E254" s="60"/>
      <c r="F254" s="60"/>
      <c r="G254" s="60"/>
      <c r="H254" s="62"/>
      <c r="I254" s="60" t="str">
        <f t="shared" ca="1" si="6"/>
        <v/>
      </c>
    </row>
    <row r="255" spans="1:9" ht="14.25" customHeight="1" x14ac:dyDescent="0.35">
      <c r="A255" s="62">
        <f t="shared" si="7"/>
        <v>254</v>
      </c>
      <c r="B255" s="79"/>
      <c r="C255" s="61"/>
      <c r="D255" s="62"/>
      <c r="E255" s="60"/>
      <c r="F255" s="60"/>
      <c r="G255" s="60"/>
      <c r="H255" s="62"/>
      <c r="I255" s="60" t="str">
        <f t="shared" ca="1" si="6"/>
        <v/>
      </c>
    </row>
    <row r="256" spans="1:9" ht="14.25" customHeight="1" x14ac:dyDescent="0.35">
      <c r="A256" s="62">
        <f t="shared" si="7"/>
        <v>255</v>
      </c>
      <c r="B256" s="79"/>
      <c r="C256" s="61"/>
      <c r="D256" s="62"/>
      <c r="E256" s="60"/>
      <c r="F256" s="60"/>
      <c r="G256" s="60"/>
      <c r="H256" s="62"/>
      <c r="I256" s="60" t="str">
        <f t="shared" ca="1" si="6"/>
        <v/>
      </c>
    </row>
    <row r="257" spans="1:9" ht="14.25" customHeight="1" x14ac:dyDescent="0.35">
      <c r="A257" s="62">
        <f t="shared" si="7"/>
        <v>256</v>
      </c>
      <c r="B257" s="79"/>
      <c r="C257" s="61"/>
      <c r="D257" s="62"/>
      <c r="E257" s="60"/>
      <c r="F257" s="60"/>
      <c r="G257" s="60"/>
      <c r="H257" s="62"/>
      <c r="I257" s="60" t="str">
        <f t="shared" ca="1" si="6"/>
        <v/>
      </c>
    </row>
    <row r="258" spans="1:9" ht="14.25" customHeight="1" x14ac:dyDescent="0.35">
      <c r="A258" s="65">
        <f t="shared" si="7"/>
        <v>257</v>
      </c>
      <c r="B258" s="80"/>
      <c r="C258" s="64"/>
      <c r="D258" s="65"/>
      <c r="E258" s="63"/>
      <c r="F258" s="63"/>
      <c r="G258" s="63"/>
      <c r="H258" s="65"/>
      <c r="I258" s="63" t="str">
        <f t="shared" ca="1" si="6"/>
        <v/>
      </c>
    </row>
  </sheetData>
  <autoFilter ref="A1:K258" xr:uid="{00000000-0001-0000-0100-000000000000}"/>
  <conditionalFormatting sqref="A2:I258">
    <cfRule type="expression" dxfId="1" priority="2">
      <formula>MOD(ROW($A2),2)=0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7E203-7CAE-4249-B77E-E32BD324E5B0}">
  <dimension ref="A1:E1000"/>
  <sheetViews>
    <sheetView showGridLines="0" workbookViewId="0">
      <selection activeCell="D2" sqref="D2"/>
    </sheetView>
  </sheetViews>
  <sheetFormatPr defaultRowHeight="14.5" x14ac:dyDescent="0.35"/>
  <cols>
    <col min="1" max="1" width="8.7265625" style="82"/>
    <col min="2" max="2" width="36.6328125" style="81" customWidth="1"/>
    <col min="3" max="3" width="19.6328125" style="81" customWidth="1"/>
    <col min="4" max="4" width="13.54296875" style="69" customWidth="1"/>
    <col min="5" max="5" width="19.6328125" style="81" customWidth="1"/>
  </cols>
  <sheetData>
    <row r="1" spans="1:5" ht="15.5" thickTop="1" thickBot="1" x14ac:dyDescent="0.4">
      <c r="A1" s="83" t="s">
        <v>210</v>
      </c>
      <c r="B1" s="84" t="s">
        <v>46</v>
      </c>
      <c r="C1" s="85" t="s">
        <v>47</v>
      </c>
      <c r="D1" s="86" t="s">
        <v>223</v>
      </c>
      <c r="E1" s="85" t="s">
        <v>211</v>
      </c>
    </row>
    <row r="2" spans="1:5" ht="15" thickTop="1" x14ac:dyDescent="0.35">
      <c r="A2" s="87">
        <v>21368</v>
      </c>
      <c r="B2" s="88" t="s">
        <v>193</v>
      </c>
      <c r="C2" s="88" t="s">
        <v>21</v>
      </c>
      <c r="D2" s="89">
        <v>46174</v>
      </c>
      <c r="E2" s="88" t="s">
        <v>57</v>
      </c>
    </row>
    <row r="3" spans="1:5" x14ac:dyDescent="0.35">
      <c r="A3" s="90">
        <v>77985</v>
      </c>
      <c r="B3" s="91" t="s">
        <v>195</v>
      </c>
      <c r="C3" s="91" t="s">
        <v>31</v>
      </c>
      <c r="D3" s="92">
        <v>46174</v>
      </c>
      <c r="E3" s="91" t="s">
        <v>57</v>
      </c>
    </row>
    <row r="4" spans="1:5" x14ac:dyDescent="0.35">
      <c r="A4" s="90">
        <v>77260</v>
      </c>
      <c r="B4" s="91" t="s">
        <v>212</v>
      </c>
      <c r="C4" s="91" t="s">
        <v>22</v>
      </c>
      <c r="D4" s="92">
        <v>46174</v>
      </c>
      <c r="E4" s="91" t="s">
        <v>57</v>
      </c>
    </row>
    <row r="5" spans="1:5" x14ac:dyDescent="0.35">
      <c r="A5" s="90">
        <v>75461</v>
      </c>
      <c r="B5" s="91" t="s">
        <v>201</v>
      </c>
      <c r="C5" s="91" t="s">
        <v>18</v>
      </c>
      <c r="D5" s="92">
        <v>46174</v>
      </c>
      <c r="E5" s="91" t="s">
        <v>57</v>
      </c>
    </row>
    <row r="6" spans="1:5" x14ac:dyDescent="0.35">
      <c r="A6" s="90">
        <v>75458</v>
      </c>
      <c r="B6" s="91" t="s">
        <v>202</v>
      </c>
      <c r="C6" s="91" t="s">
        <v>18</v>
      </c>
      <c r="D6" s="92">
        <v>46174</v>
      </c>
      <c r="E6" s="91" t="s">
        <v>57</v>
      </c>
    </row>
    <row r="7" spans="1:5" x14ac:dyDescent="0.35">
      <c r="A7" s="90">
        <v>72423</v>
      </c>
      <c r="B7" s="91" t="s">
        <v>205</v>
      </c>
      <c r="C7" s="91" t="s">
        <v>206</v>
      </c>
      <c r="D7" s="92">
        <v>46174</v>
      </c>
      <c r="E7" s="91" t="s">
        <v>57</v>
      </c>
    </row>
    <row r="8" spans="1:5" x14ac:dyDescent="0.35">
      <c r="A8" s="90">
        <v>21066</v>
      </c>
      <c r="B8" s="91" t="s">
        <v>213</v>
      </c>
      <c r="C8" s="91" t="s">
        <v>19</v>
      </c>
      <c r="D8" s="92">
        <v>46174</v>
      </c>
      <c r="E8" s="91" t="s">
        <v>53</v>
      </c>
    </row>
    <row r="9" spans="1:5" x14ac:dyDescent="0.35">
      <c r="A9" s="90">
        <v>76469</v>
      </c>
      <c r="B9" s="91" t="s">
        <v>204</v>
      </c>
      <c r="C9" s="91" t="s">
        <v>33</v>
      </c>
      <c r="D9" s="92">
        <v>46174</v>
      </c>
      <c r="E9" s="91" t="s">
        <v>57</v>
      </c>
    </row>
    <row r="10" spans="1:5" x14ac:dyDescent="0.35">
      <c r="A10" s="90">
        <v>40926</v>
      </c>
      <c r="B10" s="91" t="s">
        <v>214</v>
      </c>
      <c r="C10" s="91" t="s">
        <v>28</v>
      </c>
      <c r="D10" s="92">
        <v>46174</v>
      </c>
      <c r="E10" s="91" t="s">
        <v>57</v>
      </c>
    </row>
    <row r="11" spans="1:5" x14ac:dyDescent="0.35">
      <c r="A11" s="90">
        <v>11377</v>
      </c>
      <c r="B11" s="91" t="s">
        <v>215</v>
      </c>
      <c r="C11" s="91" t="s">
        <v>20</v>
      </c>
      <c r="D11" s="92">
        <v>46174</v>
      </c>
      <c r="E11" s="91" t="s">
        <v>53</v>
      </c>
    </row>
    <row r="12" spans="1:5" x14ac:dyDescent="0.35">
      <c r="A12" s="90">
        <v>42231</v>
      </c>
      <c r="B12" s="91" t="s">
        <v>216</v>
      </c>
      <c r="C12" s="91" t="s">
        <v>26</v>
      </c>
      <c r="D12" s="92">
        <v>46174</v>
      </c>
      <c r="E12" s="91" t="s">
        <v>57</v>
      </c>
    </row>
    <row r="13" spans="1:5" x14ac:dyDescent="0.35">
      <c r="A13" s="90">
        <v>11374</v>
      </c>
      <c r="B13" s="91" t="s">
        <v>217</v>
      </c>
      <c r="C13" s="91" t="s">
        <v>20</v>
      </c>
      <c r="D13" s="92">
        <v>46204</v>
      </c>
      <c r="E13" s="91" t="s">
        <v>53</v>
      </c>
    </row>
    <row r="14" spans="1:5" x14ac:dyDescent="0.35">
      <c r="A14" s="90">
        <v>42239</v>
      </c>
      <c r="B14" s="91" t="s">
        <v>218</v>
      </c>
      <c r="C14" s="91" t="s">
        <v>26</v>
      </c>
      <c r="D14" s="92">
        <v>46235</v>
      </c>
      <c r="E14" s="91" t="s">
        <v>53</v>
      </c>
    </row>
    <row r="15" spans="1:5" x14ac:dyDescent="0.35">
      <c r="A15" s="90">
        <v>75455</v>
      </c>
      <c r="B15" s="91" t="s">
        <v>219</v>
      </c>
      <c r="C15" s="91" t="s">
        <v>18</v>
      </c>
      <c r="D15" s="92">
        <v>46235</v>
      </c>
      <c r="E15" s="91" t="s">
        <v>53</v>
      </c>
    </row>
    <row r="16" spans="1:5" x14ac:dyDescent="0.35">
      <c r="A16" s="90">
        <v>21370</v>
      </c>
      <c r="B16" s="91" t="s">
        <v>220</v>
      </c>
      <c r="C16" s="91" t="s">
        <v>21</v>
      </c>
      <c r="D16" s="92">
        <v>46235</v>
      </c>
      <c r="E16" s="91" t="s">
        <v>53</v>
      </c>
    </row>
    <row r="17" spans="1:5" x14ac:dyDescent="0.35">
      <c r="A17" s="90">
        <v>11512</v>
      </c>
      <c r="B17" s="91" t="s">
        <v>221</v>
      </c>
      <c r="C17" s="91" t="s">
        <v>32</v>
      </c>
      <c r="D17" s="92">
        <v>46235</v>
      </c>
      <c r="E17" s="91" t="s">
        <v>53</v>
      </c>
    </row>
    <row r="18" spans="1:5" x14ac:dyDescent="0.35">
      <c r="A18" s="90">
        <v>21065</v>
      </c>
      <c r="B18" s="91" t="s">
        <v>222</v>
      </c>
      <c r="C18" s="91" t="s">
        <v>19</v>
      </c>
      <c r="D18" s="92">
        <v>46327</v>
      </c>
      <c r="E18" s="91" t="s">
        <v>53</v>
      </c>
    </row>
    <row r="19" spans="1:5" x14ac:dyDescent="0.35">
      <c r="A19" s="90"/>
      <c r="B19" s="91"/>
      <c r="C19" s="91"/>
      <c r="D19" s="92"/>
      <c r="E19" s="91"/>
    </row>
    <row r="20" spans="1:5" x14ac:dyDescent="0.35">
      <c r="A20" s="90"/>
      <c r="B20" s="91"/>
      <c r="C20" s="91"/>
      <c r="D20" s="92"/>
      <c r="E20" s="91"/>
    </row>
    <row r="21" spans="1:5" x14ac:dyDescent="0.35">
      <c r="A21" s="90"/>
      <c r="B21" s="91"/>
      <c r="C21" s="91"/>
      <c r="D21" s="92"/>
      <c r="E21" s="91"/>
    </row>
    <row r="22" spans="1:5" x14ac:dyDescent="0.35">
      <c r="A22" s="90"/>
      <c r="B22" s="91"/>
      <c r="C22" s="91"/>
      <c r="D22" s="92"/>
      <c r="E22" s="91"/>
    </row>
    <row r="23" spans="1:5" x14ac:dyDescent="0.35">
      <c r="A23" s="90"/>
      <c r="B23" s="91"/>
      <c r="C23" s="91"/>
      <c r="D23" s="92"/>
      <c r="E23" s="91"/>
    </row>
    <row r="24" spans="1:5" x14ac:dyDescent="0.35">
      <c r="A24" s="90"/>
      <c r="B24" s="91"/>
      <c r="C24" s="91"/>
      <c r="D24" s="92"/>
      <c r="E24" s="91"/>
    </row>
    <row r="25" spans="1:5" x14ac:dyDescent="0.35">
      <c r="A25" s="90"/>
      <c r="B25" s="91"/>
      <c r="C25" s="91"/>
      <c r="D25" s="92"/>
      <c r="E25" s="91"/>
    </row>
    <row r="26" spans="1:5" x14ac:dyDescent="0.35">
      <c r="A26" s="90"/>
      <c r="B26" s="91"/>
      <c r="C26" s="91"/>
      <c r="D26" s="92"/>
      <c r="E26" s="91"/>
    </row>
    <row r="27" spans="1:5" x14ac:dyDescent="0.35">
      <c r="A27" s="90"/>
      <c r="B27" s="91"/>
      <c r="C27" s="91"/>
      <c r="D27" s="92"/>
      <c r="E27" s="91"/>
    </row>
    <row r="28" spans="1:5" x14ac:dyDescent="0.35">
      <c r="A28" s="90"/>
      <c r="B28" s="91"/>
      <c r="C28" s="91"/>
      <c r="D28" s="92"/>
      <c r="E28" s="91"/>
    </row>
    <row r="29" spans="1:5" x14ac:dyDescent="0.35">
      <c r="A29" s="90"/>
      <c r="B29" s="91"/>
      <c r="C29" s="91"/>
      <c r="D29" s="92"/>
      <c r="E29" s="91"/>
    </row>
    <row r="30" spans="1:5" x14ac:dyDescent="0.35">
      <c r="A30" s="90"/>
      <c r="B30" s="91"/>
      <c r="C30" s="91"/>
      <c r="D30" s="92"/>
      <c r="E30" s="91"/>
    </row>
    <row r="31" spans="1:5" x14ac:dyDescent="0.35">
      <c r="A31" s="90"/>
      <c r="B31" s="91"/>
      <c r="C31" s="91"/>
      <c r="D31" s="92"/>
      <c r="E31" s="91"/>
    </row>
    <row r="32" spans="1:5" x14ac:dyDescent="0.35">
      <c r="A32" s="90"/>
      <c r="B32" s="91"/>
      <c r="C32" s="91"/>
      <c r="D32" s="92"/>
      <c r="E32" s="91"/>
    </row>
    <row r="33" spans="1:5" x14ac:dyDescent="0.35">
      <c r="A33" s="90"/>
      <c r="B33" s="91"/>
      <c r="C33" s="91"/>
      <c r="D33" s="92"/>
      <c r="E33" s="91"/>
    </row>
    <row r="34" spans="1:5" x14ac:dyDescent="0.35">
      <c r="A34" s="90"/>
      <c r="B34" s="91"/>
      <c r="C34" s="91"/>
      <c r="D34" s="92"/>
      <c r="E34" s="91"/>
    </row>
    <row r="35" spans="1:5" x14ac:dyDescent="0.35">
      <c r="A35" s="90"/>
      <c r="B35" s="91"/>
      <c r="C35" s="91"/>
      <c r="D35" s="92"/>
      <c r="E35" s="91"/>
    </row>
    <row r="36" spans="1:5" x14ac:dyDescent="0.35">
      <c r="A36" s="90"/>
      <c r="B36" s="91"/>
      <c r="C36" s="91"/>
      <c r="D36" s="92"/>
      <c r="E36" s="91"/>
    </row>
    <row r="37" spans="1:5" x14ac:dyDescent="0.35">
      <c r="A37" s="90"/>
      <c r="B37" s="91"/>
      <c r="C37" s="91"/>
      <c r="D37" s="92"/>
      <c r="E37" s="91"/>
    </row>
    <row r="38" spans="1:5" x14ac:dyDescent="0.35">
      <c r="A38" s="90"/>
      <c r="B38" s="91"/>
      <c r="C38" s="91"/>
      <c r="D38" s="92"/>
      <c r="E38" s="91"/>
    </row>
    <row r="39" spans="1:5" x14ac:dyDescent="0.35">
      <c r="A39" s="90"/>
      <c r="B39" s="91"/>
      <c r="C39" s="91"/>
      <c r="D39" s="92"/>
      <c r="E39" s="91"/>
    </row>
    <row r="40" spans="1:5" x14ac:dyDescent="0.35">
      <c r="A40" s="90"/>
      <c r="B40" s="91"/>
      <c r="C40" s="91"/>
      <c r="D40" s="92"/>
      <c r="E40" s="91"/>
    </row>
    <row r="41" spans="1:5" x14ac:dyDescent="0.35">
      <c r="A41" s="90"/>
      <c r="B41" s="91"/>
      <c r="C41" s="91"/>
      <c r="D41" s="92"/>
      <c r="E41" s="91"/>
    </row>
    <row r="42" spans="1:5" x14ac:dyDescent="0.35">
      <c r="A42" s="90"/>
      <c r="B42" s="91"/>
      <c r="C42" s="91"/>
      <c r="D42" s="92"/>
      <c r="E42" s="91"/>
    </row>
    <row r="43" spans="1:5" x14ac:dyDescent="0.35">
      <c r="A43" s="90"/>
      <c r="B43" s="91"/>
      <c r="C43" s="91"/>
      <c r="D43" s="92"/>
      <c r="E43" s="91"/>
    </row>
    <row r="44" spans="1:5" x14ac:dyDescent="0.35">
      <c r="A44" s="90"/>
      <c r="B44" s="91"/>
      <c r="C44" s="91"/>
      <c r="D44" s="92"/>
      <c r="E44" s="91"/>
    </row>
    <row r="45" spans="1:5" x14ac:dyDescent="0.35">
      <c r="A45" s="90"/>
      <c r="B45" s="91"/>
      <c r="C45" s="91"/>
      <c r="D45" s="92"/>
      <c r="E45" s="91"/>
    </row>
    <row r="46" spans="1:5" x14ac:dyDescent="0.35">
      <c r="A46" s="90"/>
      <c r="B46" s="91"/>
      <c r="C46" s="91"/>
      <c r="D46" s="92"/>
      <c r="E46" s="91"/>
    </row>
    <row r="47" spans="1:5" x14ac:dyDescent="0.35">
      <c r="A47" s="90"/>
      <c r="B47" s="91"/>
      <c r="C47" s="91"/>
      <c r="D47" s="92"/>
      <c r="E47" s="91"/>
    </row>
    <row r="48" spans="1:5" x14ac:dyDescent="0.35">
      <c r="A48" s="90"/>
      <c r="B48" s="91"/>
      <c r="C48" s="91"/>
      <c r="D48" s="92"/>
      <c r="E48" s="91"/>
    </row>
    <row r="49" spans="1:5" x14ac:dyDescent="0.35">
      <c r="A49" s="90"/>
      <c r="B49" s="91"/>
      <c r="C49" s="91"/>
      <c r="D49" s="92"/>
      <c r="E49" s="91"/>
    </row>
    <row r="50" spans="1:5" x14ac:dyDescent="0.35">
      <c r="A50" s="90"/>
      <c r="B50" s="91"/>
      <c r="C50" s="91"/>
      <c r="D50" s="92"/>
      <c r="E50" s="91"/>
    </row>
    <row r="51" spans="1:5" x14ac:dyDescent="0.35">
      <c r="A51" s="90"/>
      <c r="B51" s="91"/>
      <c r="C51" s="91"/>
      <c r="D51" s="92"/>
      <c r="E51" s="91"/>
    </row>
    <row r="52" spans="1:5" x14ac:dyDescent="0.35">
      <c r="A52" s="90"/>
      <c r="B52" s="91"/>
      <c r="C52" s="91"/>
      <c r="D52" s="92"/>
      <c r="E52" s="91"/>
    </row>
    <row r="53" spans="1:5" x14ac:dyDescent="0.35">
      <c r="A53" s="90"/>
      <c r="B53" s="91"/>
      <c r="C53" s="91"/>
      <c r="D53" s="92"/>
      <c r="E53" s="91"/>
    </row>
    <row r="54" spans="1:5" x14ac:dyDescent="0.35">
      <c r="A54" s="90"/>
      <c r="B54" s="91"/>
      <c r="C54" s="91"/>
      <c r="D54" s="92"/>
      <c r="E54" s="91"/>
    </row>
    <row r="55" spans="1:5" x14ac:dyDescent="0.35">
      <c r="A55" s="90"/>
      <c r="B55" s="91"/>
      <c r="C55" s="91"/>
      <c r="D55" s="92"/>
      <c r="E55" s="91"/>
    </row>
    <row r="56" spans="1:5" x14ac:dyDescent="0.35">
      <c r="A56" s="90"/>
      <c r="B56" s="91"/>
      <c r="C56" s="91"/>
      <c r="D56" s="92"/>
      <c r="E56" s="91"/>
    </row>
    <row r="57" spans="1:5" x14ac:dyDescent="0.35">
      <c r="A57" s="90"/>
      <c r="B57" s="91"/>
      <c r="C57" s="91"/>
      <c r="D57" s="92"/>
      <c r="E57" s="91"/>
    </row>
    <row r="58" spans="1:5" x14ac:dyDescent="0.35">
      <c r="A58" s="90"/>
      <c r="B58" s="91"/>
      <c r="C58" s="91"/>
      <c r="D58" s="92"/>
      <c r="E58" s="91"/>
    </row>
    <row r="59" spans="1:5" x14ac:dyDescent="0.35">
      <c r="A59" s="90"/>
      <c r="B59" s="91"/>
      <c r="C59" s="91"/>
      <c r="D59" s="92"/>
      <c r="E59" s="91"/>
    </row>
    <row r="60" spans="1:5" x14ac:dyDescent="0.35">
      <c r="A60" s="90"/>
      <c r="B60" s="91"/>
      <c r="C60" s="91"/>
      <c r="D60" s="92"/>
      <c r="E60" s="91"/>
    </row>
    <row r="61" spans="1:5" x14ac:dyDescent="0.35">
      <c r="A61" s="90"/>
      <c r="B61" s="91"/>
      <c r="C61" s="91"/>
      <c r="D61" s="92"/>
      <c r="E61" s="91"/>
    </row>
    <row r="62" spans="1:5" x14ac:dyDescent="0.35">
      <c r="A62" s="90"/>
      <c r="B62" s="91"/>
      <c r="C62" s="91"/>
      <c r="D62" s="92"/>
      <c r="E62" s="91"/>
    </row>
    <row r="63" spans="1:5" x14ac:dyDescent="0.35">
      <c r="A63" s="90"/>
      <c r="B63" s="91"/>
      <c r="C63" s="91"/>
      <c r="D63" s="92"/>
      <c r="E63" s="91"/>
    </row>
    <row r="64" spans="1:5" x14ac:dyDescent="0.35">
      <c r="A64" s="90"/>
      <c r="B64" s="91"/>
      <c r="C64" s="91"/>
      <c r="D64" s="92"/>
      <c r="E64" s="91"/>
    </row>
    <row r="65" spans="1:5" x14ac:dyDescent="0.35">
      <c r="A65" s="90"/>
      <c r="B65" s="91"/>
      <c r="C65" s="91"/>
      <c r="D65" s="92"/>
      <c r="E65" s="91"/>
    </row>
    <row r="66" spans="1:5" x14ac:dyDescent="0.35">
      <c r="A66" s="90"/>
      <c r="B66" s="91"/>
      <c r="C66" s="91"/>
      <c r="D66" s="92"/>
      <c r="E66" s="91"/>
    </row>
    <row r="67" spans="1:5" x14ac:dyDescent="0.35">
      <c r="A67" s="90"/>
      <c r="B67" s="91"/>
      <c r="C67" s="91"/>
      <c r="D67" s="92"/>
      <c r="E67" s="91"/>
    </row>
    <row r="68" spans="1:5" x14ac:dyDescent="0.35">
      <c r="A68" s="90"/>
      <c r="B68" s="91"/>
      <c r="C68" s="91"/>
      <c r="D68" s="92"/>
      <c r="E68" s="91"/>
    </row>
    <row r="69" spans="1:5" x14ac:dyDescent="0.35">
      <c r="A69" s="90"/>
      <c r="B69" s="91"/>
      <c r="C69" s="91"/>
      <c r="D69" s="92"/>
      <c r="E69" s="91"/>
    </row>
    <row r="70" spans="1:5" x14ac:dyDescent="0.35">
      <c r="A70" s="90"/>
      <c r="B70" s="91"/>
      <c r="C70" s="91"/>
      <c r="D70" s="92"/>
      <c r="E70" s="91"/>
    </row>
    <row r="71" spans="1:5" x14ac:dyDescent="0.35">
      <c r="A71" s="90"/>
      <c r="B71" s="91"/>
      <c r="C71" s="91"/>
      <c r="D71" s="92"/>
      <c r="E71" s="91"/>
    </row>
    <row r="72" spans="1:5" x14ac:dyDescent="0.35">
      <c r="A72" s="90"/>
      <c r="B72" s="91"/>
      <c r="C72" s="91"/>
      <c r="D72" s="92"/>
      <c r="E72" s="91"/>
    </row>
    <row r="73" spans="1:5" x14ac:dyDescent="0.35">
      <c r="A73" s="90"/>
      <c r="B73" s="91"/>
      <c r="C73" s="91"/>
      <c r="D73" s="92"/>
      <c r="E73" s="91"/>
    </row>
    <row r="74" spans="1:5" x14ac:dyDescent="0.35">
      <c r="A74" s="90"/>
      <c r="B74" s="91"/>
      <c r="C74" s="91"/>
      <c r="D74" s="92"/>
      <c r="E74" s="91"/>
    </row>
    <row r="75" spans="1:5" x14ac:dyDescent="0.35">
      <c r="A75" s="90"/>
      <c r="B75" s="91"/>
      <c r="C75" s="91"/>
      <c r="D75" s="92"/>
      <c r="E75" s="91"/>
    </row>
    <row r="76" spans="1:5" x14ac:dyDescent="0.35">
      <c r="A76" s="90"/>
      <c r="B76" s="91"/>
      <c r="C76" s="91"/>
      <c r="D76" s="92"/>
      <c r="E76" s="91"/>
    </row>
    <row r="77" spans="1:5" x14ac:dyDescent="0.35">
      <c r="A77" s="90"/>
      <c r="B77" s="91"/>
      <c r="C77" s="91"/>
      <c r="D77" s="92"/>
      <c r="E77" s="91"/>
    </row>
    <row r="78" spans="1:5" x14ac:dyDescent="0.35">
      <c r="A78" s="90"/>
      <c r="B78" s="91"/>
      <c r="C78" s="91"/>
      <c r="D78" s="92"/>
      <c r="E78" s="91"/>
    </row>
    <row r="79" spans="1:5" x14ac:dyDescent="0.35">
      <c r="A79" s="90"/>
      <c r="B79" s="91"/>
      <c r="C79" s="91"/>
      <c r="D79" s="92"/>
      <c r="E79" s="91"/>
    </row>
    <row r="80" spans="1:5" x14ac:dyDescent="0.35">
      <c r="A80" s="90"/>
      <c r="B80" s="91"/>
      <c r="C80" s="91"/>
      <c r="D80" s="92"/>
      <c r="E80" s="91"/>
    </row>
    <row r="81" spans="1:5" x14ac:dyDescent="0.35">
      <c r="A81" s="90"/>
      <c r="B81" s="91"/>
      <c r="C81" s="91"/>
      <c r="D81" s="92"/>
      <c r="E81" s="91"/>
    </row>
    <row r="82" spans="1:5" x14ac:dyDescent="0.35">
      <c r="A82" s="90"/>
      <c r="B82" s="91"/>
      <c r="C82" s="91"/>
      <c r="D82" s="92"/>
      <c r="E82" s="91"/>
    </row>
    <row r="83" spans="1:5" x14ac:dyDescent="0.35">
      <c r="A83" s="90"/>
      <c r="B83" s="91"/>
      <c r="C83" s="91"/>
      <c r="D83" s="92"/>
      <c r="E83" s="91"/>
    </row>
    <row r="84" spans="1:5" x14ac:dyDescent="0.35">
      <c r="A84" s="90"/>
      <c r="B84" s="91"/>
      <c r="C84" s="91"/>
      <c r="D84" s="92"/>
      <c r="E84" s="91"/>
    </row>
    <row r="85" spans="1:5" x14ac:dyDescent="0.35">
      <c r="A85" s="90"/>
      <c r="B85" s="91"/>
      <c r="C85" s="91"/>
      <c r="D85" s="92"/>
      <c r="E85" s="91"/>
    </row>
    <row r="86" spans="1:5" x14ac:dyDescent="0.35">
      <c r="A86" s="90"/>
      <c r="B86" s="91"/>
      <c r="C86" s="91"/>
      <c r="D86" s="92"/>
      <c r="E86" s="91"/>
    </row>
    <row r="87" spans="1:5" x14ac:dyDescent="0.35">
      <c r="A87" s="90"/>
      <c r="B87" s="91"/>
      <c r="C87" s="91"/>
      <c r="D87" s="92"/>
      <c r="E87" s="91"/>
    </row>
    <row r="88" spans="1:5" x14ac:dyDescent="0.35">
      <c r="A88" s="90"/>
      <c r="B88" s="91"/>
      <c r="C88" s="91"/>
      <c r="D88" s="92"/>
      <c r="E88" s="91"/>
    </row>
    <row r="89" spans="1:5" x14ac:dyDescent="0.35">
      <c r="A89" s="90"/>
      <c r="B89" s="91"/>
      <c r="C89" s="91"/>
      <c r="D89" s="92"/>
      <c r="E89" s="91"/>
    </row>
    <row r="90" spans="1:5" x14ac:dyDescent="0.35">
      <c r="A90" s="90"/>
      <c r="B90" s="91"/>
      <c r="C90" s="91"/>
      <c r="D90" s="92"/>
      <c r="E90" s="91"/>
    </row>
    <row r="91" spans="1:5" x14ac:dyDescent="0.35">
      <c r="A91" s="90"/>
      <c r="B91" s="91"/>
      <c r="C91" s="91"/>
      <c r="D91" s="92"/>
      <c r="E91" s="91"/>
    </row>
    <row r="92" spans="1:5" x14ac:dyDescent="0.35">
      <c r="A92" s="90"/>
      <c r="B92" s="91"/>
      <c r="C92" s="91"/>
      <c r="D92" s="92"/>
      <c r="E92" s="91"/>
    </row>
    <row r="93" spans="1:5" x14ac:dyDescent="0.35">
      <c r="A93" s="90"/>
      <c r="B93" s="91"/>
      <c r="C93" s="91"/>
      <c r="D93" s="92"/>
      <c r="E93" s="91"/>
    </row>
    <row r="94" spans="1:5" x14ac:dyDescent="0.35">
      <c r="A94" s="90"/>
      <c r="B94" s="91"/>
      <c r="C94" s="91"/>
      <c r="D94" s="92"/>
      <c r="E94" s="91"/>
    </row>
    <row r="95" spans="1:5" x14ac:dyDescent="0.35">
      <c r="A95" s="90"/>
      <c r="B95" s="91"/>
      <c r="C95" s="91"/>
      <c r="D95" s="92"/>
      <c r="E95" s="91"/>
    </row>
    <row r="96" spans="1:5" x14ac:dyDescent="0.35">
      <c r="A96" s="90"/>
      <c r="B96" s="91"/>
      <c r="C96" s="91"/>
      <c r="D96" s="92"/>
      <c r="E96" s="91"/>
    </row>
    <row r="97" spans="1:5" x14ac:dyDescent="0.35">
      <c r="A97" s="90"/>
      <c r="B97" s="91"/>
      <c r="C97" s="91"/>
      <c r="D97" s="92"/>
      <c r="E97" s="91"/>
    </row>
    <row r="98" spans="1:5" x14ac:dyDescent="0.35">
      <c r="A98" s="90"/>
      <c r="B98" s="91"/>
      <c r="C98" s="91"/>
      <c r="D98" s="92"/>
      <c r="E98" s="91"/>
    </row>
    <row r="99" spans="1:5" x14ac:dyDescent="0.35">
      <c r="A99" s="90"/>
      <c r="B99" s="91"/>
      <c r="C99" s="91"/>
      <c r="D99" s="92"/>
      <c r="E99" s="91"/>
    </row>
    <row r="100" spans="1:5" x14ac:dyDescent="0.35">
      <c r="A100" s="90"/>
      <c r="B100" s="91"/>
      <c r="C100" s="91"/>
      <c r="D100" s="92"/>
      <c r="E100" s="91"/>
    </row>
    <row r="101" spans="1:5" x14ac:dyDescent="0.35">
      <c r="A101" s="90"/>
      <c r="B101" s="91"/>
      <c r="C101" s="91"/>
      <c r="D101" s="92"/>
      <c r="E101" s="91"/>
    </row>
    <row r="102" spans="1:5" x14ac:dyDescent="0.35">
      <c r="A102" s="90"/>
      <c r="B102" s="91"/>
      <c r="C102" s="91"/>
      <c r="D102" s="92"/>
      <c r="E102" s="91"/>
    </row>
    <row r="103" spans="1:5" x14ac:dyDescent="0.35">
      <c r="A103" s="90"/>
      <c r="B103" s="91"/>
      <c r="C103" s="91"/>
      <c r="D103" s="92"/>
      <c r="E103" s="91"/>
    </row>
    <row r="104" spans="1:5" x14ac:dyDescent="0.35">
      <c r="A104" s="90"/>
      <c r="B104" s="91"/>
      <c r="C104" s="91"/>
      <c r="D104" s="92"/>
      <c r="E104" s="91"/>
    </row>
    <row r="105" spans="1:5" x14ac:dyDescent="0.35">
      <c r="A105" s="90"/>
      <c r="B105" s="91"/>
      <c r="C105" s="91"/>
      <c r="D105" s="92"/>
      <c r="E105" s="91"/>
    </row>
    <row r="106" spans="1:5" x14ac:dyDescent="0.35">
      <c r="A106" s="90"/>
      <c r="B106" s="91"/>
      <c r="C106" s="91"/>
      <c r="D106" s="92"/>
      <c r="E106" s="91"/>
    </row>
    <row r="107" spans="1:5" x14ac:dyDescent="0.35">
      <c r="A107" s="90"/>
      <c r="B107" s="91"/>
      <c r="C107" s="91"/>
      <c r="D107" s="92"/>
      <c r="E107" s="91"/>
    </row>
    <row r="108" spans="1:5" x14ac:dyDescent="0.35">
      <c r="A108" s="90"/>
      <c r="B108" s="91"/>
      <c r="C108" s="91"/>
      <c r="D108" s="92"/>
      <c r="E108" s="91"/>
    </row>
    <row r="109" spans="1:5" x14ac:dyDescent="0.35">
      <c r="A109" s="90"/>
      <c r="B109" s="91"/>
      <c r="C109" s="91"/>
      <c r="D109" s="92"/>
      <c r="E109" s="91"/>
    </row>
    <row r="110" spans="1:5" x14ac:dyDescent="0.35">
      <c r="A110" s="90"/>
      <c r="B110" s="91"/>
      <c r="C110" s="91"/>
      <c r="D110" s="92"/>
      <c r="E110" s="91"/>
    </row>
    <row r="111" spans="1:5" x14ac:dyDescent="0.35">
      <c r="A111" s="90"/>
      <c r="B111" s="91"/>
      <c r="C111" s="91"/>
      <c r="D111" s="92"/>
      <c r="E111" s="91"/>
    </row>
    <row r="112" spans="1:5" x14ac:dyDescent="0.35">
      <c r="A112" s="90"/>
      <c r="B112" s="91"/>
      <c r="C112" s="91"/>
      <c r="D112" s="92"/>
      <c r="E112" s="91"/>
    </row>
    <row r="113" spans="1:5" x14ac:dyDescent="0.35">
      <c r="A113" s="90"/>
      <c r="B113" s="91"/>
      <c r="C113" s="91"/>
      <c r="D113" s="92"/>
      <c r="E113" s="91"/>
    </row>
    <row r="114" spans="1:5" x14ac:dyDescent="0.35">
      <c r="A114" s="90"/>
      <c r="B114" s="91"/>
      <c r="C114" s="91"/>
      <c r="D114" s="92"/>
      <c r="E114" s="91"/>
    </row>
    <row r="115" spans="1:5" x14ac:dyDescent="0.35">
      <c r="A115" s="90"/>
      <c r="B115" s="91"/>
      <c r="C115" s="91"/>
      <c r="D115" s="92"/>
      <c r="E115" s="91"/>
    </row>
    <row r="116" spans="1:5" x14ac:dyDescent="0.35">
      <c r="A116" s="90"/>
      <c r="B116" s="91"/>
      <c r="C116" s="91"/>
      <c r="D116" s="92"/>
      <c r="E116" s="91"/>
    </row>
    <row r="117" spans="1:5" x14ac:dyDescent="0.35">
      <c r="A117" s="90"/>
      <c r="B117" s="91"/>
      <c r="C117" s="91"/>
      <c r="D117" s="92"/>
      <c r="E117" s="91"/>
    </row>
    <row r="118" spans="1:5" x14ac:dyDescent="0.35">
      <c r="A118" s="90"/>
      <c r="B118" s="91"/>
      <c r="C118" s="91"/>
      <c r="D118" s="92"/>
      <c r="E118" s="91"/>
    </row>
    <row r="119" spans="1:5" x14ac:dyDescent="0.35">
      <c r="A119" s="90"/>
      <c r="B119" s="91"/>
      <c r="C119" s="91"/>
      <c r="D119" s="92"/>
      <c r="E119" s="91"/>
    </row>
    <row r="120" spans="1:5" x14ac:dyDescent="0.35">
      <c r="A120" s="90"/>
      <c r="B120" s="91"/>
      <c r="C120" s="91"/>
      <c r="D120" s="92"/>
      <c r="E120" s="91"/>
    </row>
    <row r="121" spans="1:5" x14ac:dyDescent="0.35">
      <c r="A121" s="90"/>
      <c r="B121" s="91"/>
      <c r="C121" s="91"/>
      <c r="D121" s="92"/>
      <c r="E121" s="91"/>
    </row>
    <row r="122" spans="1:5" x14ac:dyDescent="0.35">
      <c r="A122" s="90"/>
      <c r="B122" s="91"/>
      <c r="C122" s="91"/>
      <c r="D122" s="92"/>
      <c r="E122" s="91"/>
    </row>
    <row r="123" spans="1:5" x14ac:dyDescent="0.35">
      <c r="A123" s="90"/>
      <c r="B123" s="91"/>
      <c r="C123" s="91"/>
      <c r="D123" s="92"/>
      <c r="E123" s="91"/>
    </row>
    <row r="124" spans="1:5" x14ac:dyDescent="0.35">
      <c r="A124" s="90"/>
      <c r="B124" s="91"/>
      <c r="C124" s="91"/>
      <c r="D124" s="92"/>
      <c r="E124" s="91"/>
    </row>
    <row r="125" spans="1:5" x14ac:dyDescent="0.35">
      <c r="A125" s="90"/>
      <c r="B125" s="91"/>
      <c r="C125" s="91"/>
      <c r="D125" s="92"/>
      <c r="E125" s="91"/>
    </row>
    <row r="126" spans="1:5" x14ac:dyDescent="0.35">
      <c r="A126" s="90"/>
      <c r="B126" s="91"/>
      <c r="C126" s="91"/>
      <c r="D126" s="92"/>
      <c r="E126" s="91"/>
    </row>
    <row r="127" spans="1:5" x14ac:dyDescent="0.35">
      <c r="A127" s="90"/>
      <c r="B127" s="91"/>
      <c r="C127" s="91"/>
      <c r="D127" s="92"/>
      <c r="E127" s="91"/>
    </row>
    <row r="128" spans="1:5" x14ac:dyDescent="0.35">
      <c r="A128" s="90"/>
      <c r="B128" s="91"/>
      <c r="C128" s="91"/>
      <c r="D128" s="92"/>
      <c r="E128" s="91"/>
    </row>
    <row r="129" spans="1:5" x14ac:dyDescent="0.35">
      <c r="A129" s="90"/>
      <c r="B129" s="91"/>
      <c r="C129" s="91"/>
      <c r="D129" s="92"/>
      <c r="E129" s="91"/>
    </row>
    <row r="130" spans="1:5" x14ac:dyDescent="0.35">
      <c r="A130" s="90"/>
      <c r="B130" s="91"/>
      <c r="C130" s="91"/>
      <c r="D130" s="92"/>
      <c r="E130" s="91"/>
    </row>
    <row r="131" spans="1:5" x14ac:dyDescent="0.35">
      <c r="A131" s="90"/>
      <c r="B131" s="91"/>
      <c r="C131" s="91"/>
      <c r="D131" s="92"/>
      <c r="E131" s="91"/>
    </row>
    <row r="132" spans="1:5" x14ac:dyDescent="0.35">
      <c r="A132" s="90"/>
      <c r="B132" s="91"/>
      <c r="C132" s="91"/>
      <c r="D132" s="92"/>
      <c r="E132" s="91"/>
    </row>
    <row r="133" spans="1:5" x14ac:dyDescent="0.35">
      <c r="A133" s="90"/>
      <c r="B133" s="91"/>
      <c r="C133" s="91"/>
      <c r="D133" s="92"/>
      <c r="E133" s="91"/>
    </row>
    <row r="134" spans="1:5" x14ac:dyDescent="0.35">
      <c r="A134" s="90"/>
      <c r="B134" s="91"/>
      <c r="C134" s="91"/>
      <c r="D134" s="92"/>
      <c r="E134" s="91"/>
    </row>
    <row r="135" spans="1:5" x14ac:dyDescent="0.35">
      <c r="A135" s="90"/>
      <c r="B135" s="91"/>
      <c r="C135" s="91"/>
      <c r="D135" s="92"/>
      <c r="E135" s="91"/>
    </row>
    <row r="136" spans="1:5" x14ac:dyDescent="0.35">
      <c r="A136" s="90"/>
      <c r="B136" s="91"/>
      <c r="C136" s="91"/>
      <c r="D136" s="92"/>
      <c r="E136" s="91"/>
    </row>
    <row r="137" spans="1:5" x14ac:dyDescent="0.35">
      <c r="A137" s="90"/>
      <c r="B137" s="91"/>
      <c r="C137" s="91"/>
      <c r="D137" s="92"/>
      <c r="E137" s="91"/>
    </row>
    <row r="138" spans="1:5" x14ac:dyDescent="0.35">
      <c r="A138" s="90"/>
      <c r="B138" s="91"/>
      <c r="C138" s="91"/>
      <c r="D138" s="92"/>
      <c r="E138" s="91"/>
    </row>
    <row r="139" spans="1:5" x14ac:dyDescent="0.35">
      <c r="A139" s="90"/>
      <c r="B139" s="91"/>
      <c r="C139" s="91"/>
      <c r="D139" s="92"/>
      <c r="E139" s="91"/>
    </row>
    <row r="140" spans="1:5" x14ac:dyDescent="0.35">
      <c r="A140" s="90"/>
      <c r="B140" s="91"/>
      <c r="C140" s="91"/>
      <c r="D140" s="92"/>
      <c r="E140" s="91"/>
    </row>
    <row r="141" spans="1:5" x14ac:dyDescent="0.35">
      <c r="A141" s="90"/>
      <c r="B141" s="91"/>
      <c r="C141" s="91"/>
      <c r="D141" s="92"/>
      <c r="E141" s="91"/>
    </row>
    <row r="142" spans="1:5" x14ac:dyDescent="0.35">
      <c r="A142" s="90"/>
      <c r="B142" s="91"/>
      <c r="C142" s="91"/>
      <c r="D142" s="92"/>
      <c r="E142" s="91"/>
    </row>
    <row r="143" spans="1:5" x14ac:dyDescent="0.35">
      <c r="A143" s="90"/>
      <c r="B143" s="91"/>
      <c r="C143" s="91"/>
      <c r="D143" s="92"/>
      <c r="E143" s="91"/>
    </row>
    <row r="144" spans="1:5" x14ac:dyDescent="0.35">
      <c r="A144" s="90"/>
      <c r="B144" s="91"/>
      <c r="C144" s="91"/>
      <c r="D144" s="92"/>
      <c r="E144" s="91"/>
    </row>
    <row r="145" spans="1:5" x14ac:dyDescent="0.35">
      <c r="A145" s="90"/>
      <c r="B145" s="91"/>
      <c r="C145" s="91"/>
      <c r="D145" s="92"/>
      <c r="E145" s="91"/>
    </row>
    <row r="146" spans="1:5" x14ac:dyDescent="0.35">
      <c r="A146" s="90"/>
      <c r="B146" s="91"/>
      <c r="C146" s="91"/>
      <c r="D146" s="92"/>
      <c r="E146" s="91"/>
    </row>
    <row r="147" spans="1:5" x14ac:dyDescent="0.35">
      <c r="A147" s="90"/>
      <c r="B147" s="91"/>
      <c r="C147" s="91"/>
      <c r="D147" s="92"/>
      <c r="E147" s="91"/>
    </row>
    <row r="148" spans="1:5" x14ac:dyDescent="0.35">
      <c r="A148" s="90"/>
      <c r="B148" s="91"/>
      <c r="C148" s="91"/>
      <c r="D148" s="92"/>
      <c r="E148" s="91"/>
    </row>
    <row r="149" spans="1:5" x14ac:dyDescent="0.35">
      <c r="A149" s="90"/>
      <c r="B149" s="91"/>
      <c r="C149" s="91"/>
      <c r="D149" s="92"/>
      <c r="E149" s="91"/>
    </row>
    <row r="150" spans="1:5" x14ac:dyDescent="0.35">
      <c r="A150" s="90"/>
      <c r="B150" s="91"/>
      <c r="C150" s="91"/>
      <c r="D150" s="92"/>
      <c r="E150" s="91"/>
    </row>
    <row r="151" spans="1:5" x14ac:dyDescent="0.35">
      <c r="A151" s="90"/>
      <c r="B151" s="91"/>
      <c r="C151" s="91"/>
      <c r="D151" s="92"/>
      <c r="E151" s="91"/>
    </row>
    <row r="152" spans="1:5" x14ac:dyDescent="0.35">
      <c r="A152" s="90"/>
      <c r="B152" s="91"/>
      <c r="C152" s="91"/>
      <c r="D152" s="92"/>
      <c r="E152" s="91"/>
    </row>
    <row r="153" spans="1:5" x14ac:dyDescent="0.35">
      <c r="A153" s="90"/>
      <c r="B153" s="91"/>
      <c r="C153" s="91"/>
      <c r="D153" s="92"/>
      <c r="E153" s="91"/>
    </row>
    <row r="154" spans="1:5" x14ac:dyDescent="0.35">
      <c r="A154" s="90"/>
      <c r="B154" s="91"/>
      <c r="C154" s="91"/>
      <c r="D154" s="92"/>
      <c r="E154" s="91"/>
    </row>
    <row r="155" spans="1:5" x14ac:dyDescent="0.35">
      <c r="A155" s="90"/>
      <c r="B155" s="91"/>
      <c r="C155" s="91"/>
      <c r="D155" s="92"/>
      <c r="E155" s="91"/>
    </row>
    <row r="156" spans="1:5" x14ac:dyDescent="0.35">
      <c r="A156" s="90"/>
      <c r="B156" s="91"/>
      <c r="C156" s="91"/>
      <c r="D156" s="92"/>
      <c r="E156" s="91"/>
    </row>
    <row r="157" spans="1:5" x14ac:dyDescent="0.35">
      <c r="A157" s="90"/>
      <c r="B157" s="91"/>
      <c r="C157" s="91"/>
      <c r="D157" s="92"/>
      <c r="E157" s="91"/>
    </row>
    <row r="158" spans="1:5" x14ac:dyDescent="0.35">
      <c r="A158" s="90"/>
      <c r="B158" s="91"/>
      <c r="C158" s="91"/>
      <c r="D158" s="92"/>
      <c r="E158" s="91"/>
    </row>
    <row r="159" spans="1:5" x14ac:dyDescent="0.35">
      <c r="A159" s="90"/>
      <c r="B159" s="91"/>
      <c r="C159" s="91"/>
      <c r="D159" s="92"/>
      <c r="E159" s="91"/>
    </row>
    <row r="160" spans="1:5" x14ac:dyDescent="0.35">
      <c r="A160" s="90"/>
      <c r="B160" s="91"/>
      <c r="C160" s="91"/>
      <c r="D160" s="92"/>
      <c r="E160" s="91"/>
    </row>
    <row r="161" spans="1:5" x14ac:dyDescent="0.35">
      <c r="A161" s="90"/>
      <c r="B161" s="91"/>
      <c r="C161" s="91"/>
      <c r="D161" s="92"/>
      <c r="E161" s="91"/>
    </row>
    <row r="162" spans="1:5" x14ac:dyDescent="0.35">
      <c r="A162" s="90"/>
      <c r="B162" s="91"/>
      <c r="C162" s="91"/>
      <c r="D162" s="92"/>
      <c r="E162" s="91"/>
    </row>
    <row r="163" spans="1:5" x14ac:dyDescent="0.35">
      <c r="A163" s="90"/>
      <c r="B163" s="91"/>
      <c r="C163" s="91"/>
      <c r="D163" s="92"/>
      <c r="E163" s="91"/>
    </row>
    <row r="164" spans="1:5" x14ac:dyDescent="0.35">
      <c r="A164" s="90"/>
      <c r="B164" s="91"/>
      <c r="C164" s="91"/>
      <c r="D164" s="92"/>
      <c r="E164" s="91"/>
    </row>
    <row r="165" spans="1:5" x14ac:dyDescent="0.35">
      <c r="A165" s="90"/>
      <c r="B165" s="91"/>
      <c r="C165" s="91"/>
      <c r="D165" s="92"/>
      <c r="E165" s="91"/>
    </row>
    <row r="166" spans="1:5" x14ac:dyDescent="0.35">
      <c r="A166" s="90"/>
      <c r="B166" s="91"/>
      <c r="C166" s="91"/>
      <c r="D166" s="92"/>
      <c r="E166" s="91"/>
    </row>
    <row r="167" spans="1:5" x14ac:dyDescent="0.35">
      <c r="A167" s="90"/>
      <c r="B167" s="91"/>
      <c r="C167" s="91"/>
      <c r="D167" s="92"/>
      <c r="E167" s="91"/>
    </row>
    <row r="168" spans="1:5" x14ac:dyDescent="0.35">
      <c r="A168" s="90"/>
      <c r="B168" s="91"/>
      <c r="C168" s="91"/>
      <c r="D168" s="92"/>
      <c r="E168" s="91"/>
    </row>
    <row r="169" spans="1:5" x14ac:dyDescent="0.35">
      <c r="A169" s="90"/>
      <c r="B169" s="91"/>
      <c r="C169" s="91"/>
      <c r="D169" s="92"/>
      <c r="E169" s="91"/>
    </row>
    <row r="170" spans="1:5" x14ac:dyDescent="0.35">
      <c r="A170" s="90"/>
      <c r="B170" s="91"/>
      <c r="C170" s="91"/>
      <c r="D170" s="92"/>
      <c r="E170" s="91"/>
    </row>
    <row r="171" spans="1:5" x14ac:dyDescent="0.35">
      <c r="A171" s="90"/>
      <c r="B171" s="91"/>
      <c r="C171" s="91"/>
      <c r="D171" s="92"/>
      <c r="E171" s="91"/>
    </row>
    <row r="172" spans="1:5" x14ac:dyDescent="0.35">
      <c r="A172" s="90"/>
      <c r="B172" s="91"/>
      <c r="C172" s="91"/>
      <c r="D172" s="92"/>
      <c r="E172" s="91"/>
    </row>
    <row r="173" spans="1:5" x14ac:dyDescent="0.35">
      <c r="A173" s="90"/>
      <c r="B173" s="91"/>
      <c r="C173" s="91"/>
      <c r="D173" s="92"/>
      <c r="E173" s="91"/>
    </row>
    <row r="174" spans="1:5" x14ac:dyDescent="0.35">
      <c r="A174" s="90"/>
      <c r="B174" s="91"/>
      <c r="C174" s="91"/>
      <c r="D174" s="92"/>
      <c r="E174" s="91"/>
    </row>
    <row r="175" spans="1:5" x14ac:dyDescent="0.35">
      <c r="A175" s="90"/>
      <c r="B175" s="91"/>
      <c r="C175" s="91"/>
      <c r="D175" s="92"/>
      <c r="E175" s="91"/>
    </row>
    <row r="176" spans="1:5" x14ac:dyDescent="0.35">
      <c r="A176" s="90"/>
      <c r="B176" s="91"/>
      <c r="C176" s="91"/>
      <c r="D176" s="92"/>
      <c r="E176" s="91"/>
    </row>
    <row r="177" spans="1:5" x14ac:dyDescent="0.35">
      <c r="A177" s="90"/>
      <c r="B177" s="91"/>
      <c r="C177" s="91"/>
      <c r="D177" s="92"/>
      <c r="E177" s="91"/>
    </row>
    <row r="178" spans="1:5" x14ac:dyDescent="0.35">
      <c r="A178" s="90"/>
      <c r="B178" s="91"/>
      <c r="C178" s="91"/>
      <c r="D178" s="92"/>
      <c r="E178" s="91"/>
    </row>
    <row r="179" spans="1:5" x14ac:dyDescent="0.35">
      <c r="A179" s="90"/>
      <c r="B179" s="91"/>
      <c r="C179" s="91"/>
      <c r="D179" s="92"/>
      <c r="E179" s="91"/>
    </row>
    <row r="180" spans="1:5" x14ac:dyDescent="0.35">
      <c r="A180" s="90"/>
      <c r="B180" s="91"/>
      <c r="C180" s="91"/>
      <c r="D180" s="92"/>
      <c r="E180" s="91"/>
    </row>
    <row r="181" spans="1:5" x14ac:dyDescent="0.35">
      <c r="A181" s="90"/>
      <c r="B181" s="91"/>
      <c r="C181" s="91"/>
      <c r="D181" s="92"/>
      <c r="E181" s="91"/>
    </row>
    <row r="182" spans="1:5" x14ac:dyDescent="0.35">
      <c r="A182" s="90"/>
      <c r="B182" s="91"/>
      <c r="C182" s="91"/>
      <c r="D182" s="92"/>
      <c r="E182" s="91"/>
    </row>
    <row r="183" spans="1:5" x14ac:dyDescent="0.35">
      <c r="A183" s="90"/>
      <c r="B183" s="91"/>
      <c r="C183" s="91"/>
      <c r="D183" s="92"/>
      <c r="E183" s="91"/>
    </row>
    <row r="184" spans="1:5" x14ac:dyDescent="0.35">
      <c r="A184" s="90"/>
      <c r="B184" s="91"/>
      <c r="C184" s="91"/>
      <c r="D184" s="92"/>
      <c r="E184" s="91"/>
    </row>
    <row r="185" spans="1:5" x14ac:dyDescent="0.35">
      <c r="A185" s="90"/>
      <c r="B185" s="91"/>
      <c r="C185" s="91"/>
      <c r="D185" s="92"/>
      <c r="E185" s="91"/>
    </row>
    <row r="186" spans="1:5" x14ac:dyDescent="0.35">
      <c r="A186" s="90"/>
      <c r="B186" s="91"/>
      <c r="C186" s="91"/>
      <c r="D186" s="92"/>
      <c r="E186" s="91"/>
    </row>
    <row r="187" spans="1:5" x14ac:dyDescent="0.35">
      <c r="A187" s="90"/>
      <c r="B187" s="91"/>
      <c r="C187" s="91"/>
      <c r="D187" s="92"/>
      <c r="E187" s="91"/>
    </row>
    <row r="188" spans="1:5" x14ac:dyDescent="0.35">
      <c r="A188" s="90"/>
      <c r="B188" s="91"/>
      <c r="C188" s="91"/>
      <c r="D188" s="92"/>
      <c r="E188" s="91"/>
    </row>
    <row r="189" spans="1:5" x14ac:dyDescent="0.35">
      <c r="A189" s="90"/>
      <c r="B189" s="91"/>
      <c r="C189" s="91"/>
      <c r="D189" s="92"/>
      <c r="E189" s="91"/>
    </row>
    <row r="190" spans="1:5" x14ac:dyDescent="0.35">
      <c r="A190" s="90"/>
      <c r="B190" s="91"/>
      <c r="C190" s="91"/>
      <c r="D190" s="92"/>
      <c r="E190" s="91"/>
    </row>
    <row r="191" spans="1:5" x14ac:dyDescent="0.35">
      <c r="A191" s="90"/>
      <c r="B191" s="91"/>
      <c r="C191" s="91"/>
      <c r="D191" s="92"/>
      <c r="E191" s="91"/>
    </row>
    <row r="192" spans="1:5" x14ac:dyDescent="0.35">
      <c r="A192" s="90"/>
      <c r="B192" s="91"/>
      <c r="C192" s="91"/>
      <c r="D192" s="92"/>
      <c r="E192" s="91"/>
    </row>
    <row r="193" spans="1:5" x14ac:dyDescent="0.35">
      <c r="A193" s="90"/>
      <c r="B193" s="91"/>
      <c r="C193" s="91"/>
      <c r="D193" s="92"/>
      <c r="E193" s="91"/>
    </row>
    <row r="194" spans="1:5" x14ac:dyDescent="0.35">
      <c r="A194" s="90"/>
      <c r="B194" s="91"/>
      <c r="C194" s="91"/>
      <c r="D194" s="92"/>
      <c r="E194" s="91"/>
    </row>
    <row r="195" spans="1:5" x14ac:dyDescent="0.35">
      <c r="A195" s="90"/>
      <c r="B195" s="91"/>
      <c r="C195" s="91"/>
      <c r="D195" s="92"/>
      <c r="E195" s="91"/>
    </row>
    <row r="196" spans="1:5" x14ac:dyDescent="0.35">
      <c r="A196" s="90"/>
      <c r="B196" s="91"/>
      <c r="C196" s="91"/>
      <c r="D196" s="92"/>
      <c r="E196" s="91"/>
    </row>
    <row r="197" spans="1:5" x14ac:dyDescent="0.35">
      <c r="A197" s="90"/>
      <c r="B197" s="91"/>
      <c r="C197" s="91"/>
      <c r="D197" s="92"/>
      <c r="E197" s="91"/>
    </row>
    <row r="198" spans="1:5" x14ac:dyDescent="0.35">
      <c r="A198" s="90"/>
      <c r="B198" s="91"/>
      <c r="C198" s="91"/>
      <c r="D198" s="92"/>
      <c r="E198" s="91"/>
    </row>
    <row r="199" spans="1:5" x14ac:dyDescent="0.35">
      <c r="A199" s="90"/>
      <c r="B199" s="91"/>
      <c r="C199" s="91"/>
      <c r="D199" s="92"/>
      <c r="E199" s="91"/>
    </row>
    <row r="200" spans="1:5" x14ac:dyDescent="0.35">
      <c r="A200" s="90"/>
      <c r="B200" s="91"/>
      <c r="C200" s="91"/>
      <c r="D200" s="92"/>
      <c r="E200" s="91"/>
    </row>
    <row r="201" spans="1:5" x14ac:dyDescent="0.35">
      <c r="A201" s="90"/>
      <c r="B201" s="91"/>
      <c r="C201" s="91"/>
      <c r="D201" s="92"/>
      <c r="E201" s="91"/>
    </row>
    <row r="202" spans="1:5" x14ac:dyDescent="0.35">
      <c r="A202" s="90"/>
      <c r="B202" s="91"/>
      <c r="C202" s="91"/>
      <c r="D202" s="92"/>
      <c r="E202" s="91"/>
    </row>
    <row r="203" spans="1:5" x14ac:dyDescent="0.35">
      <c r="A203" s="90"/>
      <c r="B203" s="91"/>
      <c r="C203" s="91"/>
      <c r="D203" s="92"/>
      <c r="E203" s="91"/>
    </row>
    <row r="204" spans="1:5" x14ac:dyDescent="0.35">
      <c r="A204" s="90"/>
      <c r="B204" s="91"/>
      <c r="C204" s="91"/>
      <c r="D204" s="92"/>
      <c r="E204" s="91"/>
    </row>
    <row r="205" spans="1:5" x14ac:dyDescent="0.35">
      <c r="A205" s="90"/>
      <c r="B205" s="91"/>
      <c r="C205" s="91"/>
      <c r="D205" s="92"/>
      <c r="E205" s="91"/>
    </row>
    <row r="206" spans="1:5" x14ac:dyDescent="0.35">
      <c r="A206" s="90"/>
      <c r="B206" s="91"/>
      <c r="C206" s="91"/>
      <c r="D206" s="92"/>
      <c r="E206" s="91"/>
    </row>
    <row r="207" spans="1:5" x14ac:dyDescent="0.35">
      <c r="A207" s="90"/>
      <c r="B207" s="91"/>
      <c r="C207" s="91"/>
      <c r="D207" s="92"/>
      <c r="E207" s="91"/>
    </row>
    <row r="208" spans="1:5" x14ac:dyDescent="0.35">
      <c r="A208" s="90"/>
      <c r="B208" s="91"/>
      <c r="C208" s="91"/>
      <c r="D208" s="92"/>
      <c r="E208" s="91"/>
    </row>
    <row r="209" spans="1:5" x14ac:dyDescent="0.35">
      <c r="A209" s="90"/>
      <c r="B209" s="91"/>
      <c r="C209" s="91"/>
      <c r="D209" s="92"/>
      <c r="E209" s="91"/>
    </row>
    <row r="210" spans="1:5" x14ac:dyDescent="0.35">
      <c r="A210" s="90"/>
      <c r="B210" s="91"/>
      <c r="C210" s="91"/>
      <c r="D210" s="92"/>
      <c r="E210" s="91"/>
    </row>
    <row r="211" spans="1:5" x14ac:dyDescent="0.35">
      <c r="A211" s="90"/>
      <c r="B211" s="91"/>
      <c r="C211" s="91"/>
      <c r="D211" s="92"/>
      <c r="E211" s="91"/>
    </row>
    <row r="212" spans="1:5" x14ac:dyDescent="0.35">
      <c r="A212" s="90"/>
      <c r="B212" s="91"/>
      <c r="C212" s="91"/>
      <c r="D212" s="92"/>
      <c r="E212" s="91"/>
    </row>
    <row r="213" spans="1:5" x14ac:dyDescent="0.35">
      <c r="A213" s="90"/>
      <c r="B213" s="91"/>
      <c r="C213" s="91"/>
      <c r="D213" s="92"/>
      <c r="E213" s="91"/>
    </row>
    <row r="214" spans="1:5" x14ac:dyDescent="0.35">
      <c r="A214" s="90"/>
      <c r="B214" s="91"/>
      <c r="C214" s="91"/>
      <c r="D214" s="92"/>
      <c r="E214" s="91"/>
    </row>
    <row r="215" spans="1:5" x14ac:dyDescent="0.35">
      <c r="A215" s="90"/>
      <c r="B215" s="91"/>
      <c r="C215" s="91"/>
      <c r="D215" s="92"/>
      <c r="E215" s="91"/>
    </row>
    <row r="216" spans="1:5" x14ac:dyDescent="0.35">
      <c r="A216" s="90"/>
      <c r="B216" s="91"/>
      <c r="C216" s="91"/>
      <c r="D216" s="92"/>
      <c r="E216" s="91"/>
    </row>
    <row r="217" spans="1:5" x14ac:dyDescent="0.35">
      <c r="A217" s="90"/>
      <c r="B217" s="91"/>
      <c r="C217" s="91"/>
      <c r="D217" s="92"/>
      <c r="E217" s="91"/>
    </row>
    <row r="218" spans="1:5" x14ac:dyDescent="0.35">
      <c r="A218" s="90"/>
      <c r="B218" s="91"/>
      <c r="C218" s="91"/>
      <c r="D218" s="92"/>
      <c r="E218" s="91"/>
    </row>
    <row r="219" spans="1:5" x14ac:dyDescent="0.35">
      <c r="A219" s="90"/>
      <c r="B219" s="91"/>
      <c r="C219" s="91"/>
      <c r="D219" s="92"/>
      <c r="E219" s="91"/>
    </row>
    <row r="220" spans="1:5" x14ac:dyDescent="0.35">
      <c r="A220" s="90"/>
      <c r="B220" s="91"/>
      <c r="C220" s="91"/>
      <c r="D220" s="92"/>
      <c r="E220" s="91"/>
    </row>
    <row r="221" spans="1:5" x14ac:dyDescent="0.35">
      <c r="A221" s="90"/>
      <c r="B221" s="91"/>
      <c r="C221" s="91"/>
      <c r="D221" s="92"/>
      <c r="E221" s="91"/>
    </row>
    <row r="222" spans="1:5" x14ac:dyDescent="0.35">
      <c r="A222" s="90"/>
      <c r="B222" s="91"/>
      <c r="C222" s="91"/>
      <c r="D222" s="92"/>
      <c r="E222" s="91"/>
    </row>
    <row r="223" spans="1:5" x14ac:dyDescent="0.35">
      <c r="A223" s="90"/>
      <c r="B223" s="91"/>
      <c r="C223" s="91"/>
      <c r="D223" s="92"/>
      <c r="E223" s="91"/>
    </row>
    <row r="224" spans="1:5" x14ac:dyDescent="0.35">
      <c r="A224" s="90"/>
      <c r="B224" s="91"/>
      <c r="C224" s="91"/>
      <c r="D224" s="92"/>
      <c r="E224" s="91"/>
    </row>
    <row r="225" spans="1:5" x14ac:dyDescent="0.35">
      <c r="A225" s="90"/>
      <c r="B225" s="91"/>
      <c r="C225" s="91"/>
      <c r="D225" s="92"/>
      <c r="E225" s="91"/>
    </row>
    <row r="226" spans="1:5" x14ac:dyDescent="0.35">
      <c r="A226" s="90"/>
      <c r="B226" s="91"/>
      <c r="C226" s="91"/>
      <c r="D226" s="92"/>
      <c r="E226" s="91"/>
    </row>
    <row r="227" spans="1:5" x14ac:dyDescent="0.35">
      <c r="A227" s="90"/>
      <c r="B227" s="91"/>
      <c r="C227" s="91"/>
      <c r="D227" s="92"/>
      <c r="E227" s="91"/>
    </row>
    <row r="228" spans="1:5" x14ac:dyDescent="0.35">
      <c r="A228" s="90"/>
      <c r="B228" s="91"/>
      <c r="C228" s="91"/>
      <c r="D228" s="92"/>
      <c r="E228" s="91"/>
    </row>
    <row r="229" spans="1:5" x14ac:dyDescent="0.35">
      <c r="A229" s="90"/>
      <c r="B229" s="91"/>
      <c r="C229" s="91"/>
      <c r="D229" s="92"/>
      <c r="E229" s="91"/>
    </row>
    <row r="230" spans="1:5" x14ac:dyDescent="0.35">
      <c r="A230" s="90"/>
      <c r="B230" s="91"/>
      <c r="C230" s="91"/>
      <c r="D230" s="92"/>
      <c r="E230" s="91"/>
    </row>
    <row r="231" spans="1:5" x14ac:dyDescent="0.35">
      <c r="A231" s="90"/>
      <c r="B231" s="91"/>
      <c r="C231" s="91"/>
      <c r="D231" s="92"/>
      <c r="E231" s="91"/>
    </row>
    <row r="232" spans="1:5" x14ac:dyDescent="0.35">
      <c r="A232" s="90"/>
      <c r="B232" s="91"/>
      <c r="C232" s="91"/>
      <c r="D232" s="92"/>
      <c r="E232" s="91"/>
    </row>
    <row r="233" spans="1:5" x14ac:dyDescent="0.35">
      <c r="A233" s="90"/>
      <c r="B233" s="91"/>
      <c r="C233" s="91"/>
      <c r="D233" s="92"/>
      <c r="E233" s="91"/>
    </row>
    <row r="234" spans="1:5" x14ac:dyDescent="0.35">
      <c r="A234" s="90"/>
      <c r="B234" s="91"/>
      <c r="C234" s="91"/>
      <c r="D234" s="92"/>
      <c r="E234" s="91"/>
    </row>
    <row r="235" spans="1:5" x14ac:dyDescent="0.35">
      <c r="A235" s="90"/>
      <c r="B235" s="91"/>
      <c r="C235" s="91"/>
      <c r="D235" s="92"/>
      <c r="E235" s="91"/>
    </row>
    <row r="236" spans="1:5" x14ac:dyDescent="0.35">
      <c r="A236" s="90"/>
      <c r="B236" s="91"/>
      <c r="C236" s="91"/>
      <c r="D236" s="92"/>
      <c r="E236" s="91"/>
    </row>
    <row r="237" spans="1:5" x14ac:dyDescent="0.35">
      <c r="A237" s="90"/>
      <c r="B237" s="91"/>
      <c r="C237" s="91"/>
      <c r="D237" s="92"/>
      <c r="E237" s="91"/>
    </row>
    <row r="238" spans="1:5" x14ac:dyDescent="0.35">
      <c r="A238" s="90"/>
      <c r="B238" s="91"/>
      <c r="C238" s="91"/>
      <c r="D238" s="92"/>
      <c r="E238" s="91"/>
    </row>
    <row r="239" spans="1:5" x14ac:dyDescent="0.35">
      <c r="A239" s="90"/>
      <c r="B239" s="91"/>
      <c r="C239" s="91"/>
      <c r="D239" s="92"/>
      <c r="E239" s="91"/>
    </row>
    <row r="240" spans="1:5" x14ac:dyDescent="0.35">
      <c r="A240" s="90"/>
      <c r="B240" s="91"/>
      <c r="C240" s="91"/>
      <c r="D240" s="92"/>
      <c r="E240" s="91"/>
    </row>
    <row r="241" spans="1:5" x14ac:dyDescent="0.35">
      <c r="A241" s="90"/>
      <c r="B241" s="91"/>
      <c r="C241" s="91"/>
      <c r="D241" s="92"/>
      <c r="E241" s="91"/>
    </row>
    <row r="242" spans="1:5" x14ac:dyDescent="0.35">
      <c r="A242" s="90"/>
      <c r="B242" s="91"/>
      <c r="C242" s="91"/>
      <c r="D242" s="92"/>
      <c r="E242" s="91"/>
    </row>
    <row r="243" spans="1:5" x14ac:dyDescent="0.35">
      <c r="A243" s="90"/>
      <c r="B243" s="91"/>
      <c r="C243" s="91"/>
      <c r="D243" s="92"/>
      <c r="E243" s="91"/>
    </row>
    <row r="244" spans="1:5" x14ac:dyDescent="0.35">
      <c r="A244" s="90"/>
      <c r="B244" s="91"/>
      <c r="C244" s="91"/>
      <c r="D244" s="92"/>
      <c r="E244" s="91"/>
    </row>
    <row r="245" spans="1:5" x14ac:dyDescent="0.35">
      <c r="A245" s="90"/>
      <c r="B245" s="91"/>
      <c r="C245" s="91"/>
      <c r="D245" s="92"/>
      <c r="E245" s="91"/>
    </row>
    <row r="246" spans="1:5" x14ac:dyDescent="0.35">
      <c r="A246" s="90"/>
      <c r="B246" s="91"/>
      <c r="C246" s="91"/>
      <c r="D246" s="92"/>
      <c r="E246" s="91"/>
    </row>
    <row r="247" spans="1:5" x14ac:dyDescent="0.35">
      <c r="A247" s="90"/>
      <c r="B247" s="91"/>
      <c r="C247" s="91"/>
      <c r="D247" s="92"/>
      <c r="E247" s="91"/>
    </row>
    <row r="248" spans="1:5" x14ac:dyDescent="0.35">
      <c r="A248" s="90"/>
      <c r="B248" s="91"/>
      <c r="C248" s="91"/>
      <c r="D248" s="92"/>
      <c r="E248" s="91"/>
    </row>
    <row r="249" spans="1:5" x14ac:dyDescent="0.35">
      <c r="A249" s="90"/>
      <c r="B249" s="91"/>
      <c r="C249" s="91"/>
      <c r="D249" s="92"/>
      <c r="E249" s="91"/>
    </row>
    <row r="250" spans="1:5" x14ac:dyDescent="0.35">
      <c r="A250" s="90"/>
      <c r="B250" s="91"/>
      <c r="C250" s="91"/>
      <c r="D250" s="92"/>
      <c r="E250" s="91"/>
    </row>
    <row r="251" spans="1:5" x14ac:dyDescent="0.35">
      <c r="A251" s="90"/>
      <c r="B251" s="91"/>
      <c r="C251" s="91"/>
      <c r="D251" s="92"/>
      <c r="E251" s="91"/>
    </row>
    <row r="252" spans="1:5" x14ac:dyDescent="0.35">
      <c r="A252" s="90"/>
      <c r="B252" s="91"/>
      <c r="C252" s="91"/>
      <c r="D252" s="92"/>
      <c r="E252" s="91"/>
    </row>
    <row r="253" spans="1:5" x14ac:dyDescent="0.35">
      <c r="A253" s="90"/>
      <c r="B253" s="91"/>
      <c r="C253" s="91"/>
      <c r="D253" s="92"/>
      <c r="E253" s="91"/>
    </row>
    <row r="254" spans="1:5" x14ac:dyDescent="0.35">
      <c r="A254" s="90"/>
      <c r="B254" s="91"/>
      <c r="C254" s="91"/>
      <c r="D254" s="92"/>
      <c r="E254" s="91"/>
    </row>
    <row r="255" spans="1:5" x14ac:dyDescent="0.35">
      <c r="A255" s="90"/>
      <c r="B255" s="91"/>
      <c r="C255" s="91"/>
      <c r="D255" s="92"/>
      <c r="E255" s="91"/>
    </row>
    <row r="256" spans="1:5" x14ac:dyDescent="0.35">
      <c r="A256" s="90"/>
      <c r="B256" s="91"/>
      <c r="C256" s="91"/>
      <c r="D256" s="92"/>
      <c r="E256" s="91"/>
    </row>
    <row r="257" spans="1:5" x14ac:dyDescent="0.35">
      <c r="A257" s="90"/>
      <c r="B257" s="91"/>
      <c r="C257" s="91"/>
      <c r="D257" s="92"/>
      <c r="E257" s="91"/>
    </row>
    <row r="258" spans="1:5" x14ac:dyDescent="0.35">
      <c r="A258" s="90"/>
      <c r="B258" s="91"/>
      <c r="C258" s="91"/>
      <c r="D258" s="92"/>
      <c r="E258" s="91"/>
    </row>
    <row r="259" spans="1:5" x14ac:dyDescent="0.35">
      <c r="A259" s="90"/>
      <c r="B259" s="91"/>
      <c r="C259" s="91"/>
      <c r="D259" s="92"/>
      <c r="E259" s="91"/>
    </row>
    <row r="260" spans="1:5" x14ac:dyDescent="0.35">
      <c r="A260" s="90"/>
      <c r="B260" s="91"/>
      <c r="C260" s="91"/>
      <c r="D260" s="92"/>
      <c r="E260" s="91"/>
    </row>
    <row r="261" spans="1:5" x14ac:dyDescent="0.35">
      <c r="A261" s="90"/>
      <c r="B261" s="91"/>
      <c r="C261" s="91"/>
      <c r="D261" s="92"/>
      <c r="E261" s="91"/>
    </row>
    <row r="262" spans="1:5" x14ac:dyDescent="0.35">
      <c r="A262" s="90"/>
      <c r="B262" s="91"/>
      <c r="C262" s="91"/>
      <c r="D262" s="92"/>
      <c r="E262" s="91"/>
    </row>
    <row r="263" spans="1:5" x14ac:dyDescent="0.35">
      <c r="A263" s="90"/>
      <c r="B263" s="91"/>
      <c r="C263" s="91"/>
      <c r="D263" s="92"/>
      <c r="E263" s="91"/>
    </row>
    <row r="264" spans="1:5" x14ac:dyDescent="0.35">
      <c r="A264" s="90"/>
      <c r="B264" s="91"/>
      <c r="C264" s="91"/>
      <c r="D264" s="92"/>
      <c r="E264" s="91"/>
    </row>
    <row r="265" spans="1:5" x14ac:dyDescent="0.35">
      <c r="A265" s="90"/>
      <c r="B265" s="91"/>
      <c r="C265" s="91"/>
      <c r="D265" s="92"/>
      <c r="E265" s="91"/>
    </row>
    <row r="266" spans="1:5" x14ac:dyDescent="0.35">
      <c r="A266" s="90"/>
      <c r="B266" s="91"/>
      <c r="C266" s="91"/>
      <c r="D266" s="92"/>
      <c r="E266" s="91"/>
    </row>
    <row r="267" spans="1:5" x14ac:dyDescent="0.35">
      <c r="A267" s="90"/>
      <c r="B267" s="91"/>
      <c r="C267" s="91"/>
      <c r="D267" s="92"/>
      <c r="E267" s="91"/>
    </row>
    <row r="268" spans="1:5" x14ac:dyDescent="0.35">
      <c r="A268" s="90"/>
      <c r="B268" s="91"/>
      <c r="C268" s="91"/>
      <c r="D268" s="92"/>
      <c r="E268" s="91"/>
    </row>
    <row r="269" spans="1:5" x14ac:dyDescent="0.35">
      <c r="A269" s="90"/>
      <c r="B269" s="91"/>
      <c r="C269" s="91"/>
      <c r="D269" s="92"/>
      <c r="E269" s="91"/>
    </row>
    <row r="270" spans="1:5" x14ac:dyDescent="0.35">
      <c r="A270" s="90"/>
      <c r="B270" s="91"/>
      <c r="C270" s="91"/>
      <c r="D270" s="92"/>
      <c r="E270" s="91"/>
    </row>
    <row r="271" spans="1:5" x14ac:dyDescent="0.35">
      <c r="A271" s="90"/>
      <c r="B271" s="91"/>
      <c r="C271" s="91"/>
      <c r="D271" s="92"/>
      <c r="E271" s="91"/>
    </row>
    <row r="272" spans="1:5" x14ac:dyDescent="0.35">
      <c r="A272" s="90"/>
      <c r="B272" s="91"/>
      <c r="C272" s="91"/>
      <c r="D272" s="92"/>
      <c r="E272" s="91"/>
    </row>
    <row r="273" spans="1:5" x14ac:dyDescent="0.35">
      <c r="A273" s="90"/>
      <c r="B273" s="91"/>
      <c r="C273" s="91"/>
      <c r="D273" s="92"/>
      <c r="E273" s="91"/>
    </row>
    <row r="274" spans="1:5" x14ac:dyDescent="0.35">
      <c r="A274" s="90"/>
      <c r="B274" s="91"/>
      <c r="C274" s="91"/>
      <c r="D274" s="92"/>
      <c r="E274" s="91"/>
    </row>
    <row r="275" spans="1:5" x14ac:dyDescent="0.35">
      <c r="A275" s="90"/>
      <c r="B275" s="91"/>
      <c r="C275" s="91"/>
      <c r="D275" s="92"/>
      <c r="E275" s="91"/>
    </row>
    <row r="276" spans="1:5" x14ac:dyDescent="0.35">
      <c r="A276" s="90"/>
      <c r="B276" s="91"/>
      <c r="C276" s="91"/>
      <c r="D276" s="92"/>
      <c r="E276" s="91"/>
    </row>
    <row r="277" spans="1:5" x14ac:dyDescent="0.35">
      <c r="A277" s="90"/>
      <c r="B277" s="91"/>
      <c r="C277" s="91"/>
      <c r="D277" s="92"/>
      <c r="E277" s="91"/>
    </row>
    <row r="278" spans="1:5" x14ac:dyDescent="0.35">
      <c r="A278" s="90"/>
      <c r="B278" s="91"/>
      <c r="C278" s="91"/>
      <c r="D278" s="92"/>
      <c r="E278" s="91"/>
    </row>
    <row r="279" spans="1:5" x14ac:dyDescent="0.35">
      <c r="A279" s="90"/>
      <c r="B279" s="91"/>
      <c r="C279" s="91"/>
      <c r="D279" s="92"/>
      <c r="E279" s="91"/>
    </row>
    <row r="280" spans="1:5" x14ac:dyDescent="0.35">
      <c r="A280" s="90"/>
      <c r="B280" s="91"/>
      <c r="C280" s="91"/>
      <c r="D280" s="92"/>
      <c r="E280" s="91"/>
    </row>
    <row r="281" spans="1:5" x14ac:dyDescent="0.35">
      <c r="A281" s="90"/>
      <c r="B281" s="91"/>
      <c r="C281" s="91"/>
      <c r="D281" s="92"/>
      <c r="E281" s="91"/>
    </row>
    <row r="282" spans="1:5" x14ac:dyDescent="0.35">
      <c r="A282" s="90"/>
      <c r="B282" s="91"/>
      <c r="C282" s="91"/>
      <c r="D282" s="92"/>
      <c r="E282" s="91"/>
    </row>
    <row r="283" spans="1:5" x14ac:dyDescent="0.35">
      <c r="A283" s="90"/>
      <c r="B283" s="91"/>
      <c r="C283" s="91"/>
      <c r="D283" s="92"/>
      <c r="E283" s="91"/>
    </row>
    <row r="284" spans="1:5" x14ac:dyDescent="0.35">
      <c r="A284" s="90"/>
      <c r="B284" s="91"/>
      <c r="C284" s="91"/>
      <c r="D284" s="92"/>
      <c r="E284" s="91"/>
    </row>
    <row r="285" spans="1:5" x14ac:dyDescent="0.35">
      <c r="A285" s="90"/>
      <c r="B285" s="91"/>
      <c r="C285" s="91"/>
      <c r="D285" s="92"/>
      <c r="E285" s="91"/>
    </row>
    <row r="286" spans="1:5" x14ac:dyDescent="0.35">
      <c r="A286" s="90"/>
      <c r="B286" s="91"/>
      <c r="C286" s="91"/>
      <c r="D286" s="92"/>
      <c r="E286" s="91"/>
    </row>
    <row r="287" spans="1:5" x14ac:dyDescent="0.35">
      <c r="A287" s="90"/>
      <c r="B287" s="91"/>
      <c r="C287" s="91"/>
      <c r="D287" s="92"/>
      <c r="E287" s="91"/>
    </row>
    <row r="288" spans="1:5" x14ac:dyDescent="0.35">
      <c r="A288" s="90"/>
      <c r="B288" s="91"/>
      <c r="C288" s="91"/>
      <c r="D288" s="92"/>
      <c r="E288" s="91"/>
    </row>
    <row r="289" spans="1:5" x14ac:dyDescent="0.35">
      <c r="A289" s="90"/>
      <c r="B289" s="91"/>
      <c r="C289" s="91"/>
      <c r="D289" s="92"/>
      <c r="E289" s="91"/>
    </row>
    <row r="290" spans="1:5" x14ac:dyDescent="0.35">
      <c r="A290" s="90"/>
      <c r="B290" s="91"/>
      <c r="C290" s="91"/>
      <c r="D290" s="92"/>
      <c r="E290" s="91"/>
    </row>
    <row r="291" spans="1:5" x14ac:dyDescent="0.35">
      <c r="A291" s="90"/>
      <c r="B291" s="91"/>
      <c r="C291" s="91"/>
      <c r="D291" s="92"/>
      <c r="E291" s="91"/>
    </row>
    <row r="292" spans="1:5" x14ac:dyDescent="0.35">
      <c r="A292" s="90"/>
      <c r="B292" s="91"/>
      <c r="C292" s="91"/>
      <c r="D292" s="92"/>
      <c r="E292" s="91"/>
    </row>
    <row r="293" spans="1:5" x14ac:dyDescent="0.35">
      <c r="A293" s="90"/>
      <c r="B293" s="91"/>
      <c r="C293" s="91"/>
      <c r="D293" s="92"/>
      <c r="E293" s="91"/>
    </row>
    <row r="294" spans="1:5" x14ac:dyDescent="0.35">
      <c r="A294" s="90"/>
      <c r="B294" s="91"/>
      <c r="C294" s="91"/>
      <c r="D294" s="92"/>
      <c r="E294" s="91"/>
    </row>
    <row r="295" spans="1:5" x14ac:dyDescent="0.35">
      <c r="A295" s="90"/>
      <c r="B295" s="91"/>
      <c r="C295" s="91"/>
      <c r="D295" s="92"/>
      <c r="E295" s="91"/>
    </row>
    <row r="296" spans="1:5" x14ac:dyDescent="0.35">
      <c r="A296" s="90"/>
      <c r="B296" s="91"/>
      <c r="C296" s="91"/>
      <c r="D296" s="92"/>
      <c r="E296" s="91"/>
    </row>
    <row r="297" spans="1:5" x14ac:dyDescent="0.35">
      <c r="A297" s="90"/>
      <c r="B297" s="91"/>
      <c r="C297" s="91"/>
      <c r="D297" s="92"/>
      <c r="E297" s="91"/>
    </row>
    <row r="298" spans="1:5" x14ac:dyDescent="0.35">
      <c r="A298" s="90"/>
      <c r="B298" s="91"/>
      <c r="C298" s="91"/>
      <c r="D298" s="92"/>
      <c r="E298" s="91"/>
    </row>
    <row r="299" spans="1:5" x14ac:dyDescent="0.35">
      <c r="A299" s="90"/>
      <c r="B299" s="91"/>
      <c r="C299" s="91"/>
      <c r="D299" s="92"/>
      <c r="E299" s="91"/>
    </row>
    <row r="300" spans="1:5" x14ac:dyDescent="0.35">
      <c r="A300" s="90"/>
      <c r="B300" s="91"/>
      <c r="C300" s="91"/>
      <c r="D300" s="92"/>
      <c r="E300" s="91"/>
    </row>
    <row r="301" spans="1:5" x14ac:dyDescent="0.35">
      <c r="A301" s="90"/>
      <c r="B301" s="91"/>
      <c r="C301" s="91"/>
      <c r="D301" s="92"/>
      <c r="E301" s="91"/>
    </row>
    <row r="302" spans="1:5" x14ac:dyDescent="0.35">
      <c r="A302" s="90"/>
      <c r="B302" s="91"/>
      <c r="C302" s="91"/>
      <c r="D302" s="92"/>
      <c r="E302" s="91"/>
    </row>
    <row r="303" spans="1:5" x14ac:dyDescent="0.35">
      <c r="A303" s="90"/>
      <c r="B303" s="91"/>
      <c r="C303" s="91"/>
      <c r="D303" s="92"/>
      <c r="E303" s="91"/>
    </row>
    <row r="304" spans="1:5" x14ac:dyDescent="0.35">
      <c r="A304" s="90"/>
      <c r="B304" s="91"/>
      <c r="C304" s="91"/>
      <c r="D304" s="92"/>
      <c r="E304" s="91"/>
    </row>
    <row r="305" spans="1:5" x14ac:dyDescent="0.35">
      <c r="A305" s="90"/>
      <c r="B305" s="91"/>
      <c r="C305" s="91"/>
      <c r="D305" s="92"/>
      <c r="E305" s="91"/>
    </row>
    <row r="306" spans="1:5" x14ac:dyDescent="0.35">
      <c r="A306" s="90"/>
      <c r="B306" s="91"/>
      <c r="C306" s="91"/>
      <c r="D306" s="92"/>
      <c r="E306" s="91"/>
    </row>
    <row r="307" spans="1:5" x14ac:dyDescent="0.35">
      <c r="A307" s="90"/>
      <c r="B307" s="91"/>
      <c r="C307" s="91"/>
      <c r="D307" s="92"/>
      <c r="E307" s="91"/>
    </row>
    <row r="308" spans="1:5" x14ac:dyDescent="0.35">
      <c r="A308" s="90"/>
      <c r="B308" s="91"/>
      <c r="C308" s="91"/>
      <c r="D308" s="92"/>
      <c r="E308" s="91"/>
    </row>
    <row r="309" spans="1:5" x14ac:dyDescent="0.35">
      <c r="A309" s="90"/>
      <c r="B309" s="91"/>
      <c r="C309" s="91"/>
      <c r="D309" s="92"/>
      <c r="E309" s="91"/>
    </row>
    <row r="310" spans="1:5" x14ac:dyDescent="0.35">
      <c r="A310" s="90"/>
      <c r="B310" s="91"/>
      <c r="C310" s="91"/>
      <c r="D310" s="92"/>
      <c r="E310" s="91"/>
    </row>
    <row r="311" spans="1:5" x14ac:dyDescent="0.35">
      <c r="A311" s="90"/>
      <c r="B311" s="91"/>
      <c r="C311" s="91"/>
      <c r="D311" s="92"/>
      <c r="E311" s="91"/>
    </row>
    <row r="312" spans="1:5" x14ac:dyDescent="0.35">
      <c r="A312" s="90"/>
      <c r="B312" s="91"/>
      <c r="C312" s="91"/>
      <c r="D312" s="92"/>
      <c r="E312" s="91"/>
    </row>
    <row r="313" spans="1:5" x14ac:dyDescent="0.35">
      <c r="A313" s="90"/>
      <c r="B313" s="91"/>
      <c r="C313" s="91"/>
      <c r="D313" s="92"/>
      <c r="E313" s="91"/>
    </row>
    <row r="314" spans="1:5" x14ac:dyDescent="0.35">
      <c r="A314" s="90"/>
      <c r="B314" s="91"/>
      <c r="C314" s="91"/>
      <c r="D314" s="92"/>
      <c r="E314" s="91"/>
    </row>
    <row r="315" spans="1:5" x14ac:dyDescent="0.35">
      <c r="A315" s="90"/>
      <c r="B315" s="91"/>
      <c r="C315" s="91"/>
      <c r="D315" s="92"/>
      <c r="E315" s="91"/>
    </row>
    <row r="316" spans="1:5" x14ac:dyDescent="0.35">
      <c r="A316" s="90"/>
      <c r="B316" s="91"/>
      <c r="C316" s="91"/>
      <c r="D316" s="92"/>
      <c r="E316" s="91"/>
    </row>
    <row r="317" spans="1:5" x14ac:dyDescent="0.35">
      <c r="A317" s="90"/>
      <c r="B317" s="91"/>
      <c r="C317" s="91"/>
      <c r="D317" s="92"/>
      <c r="E317" s="91"/>
    </row>
    <row r="318" spans="1:5" x14ac:dyDescent="0.35">
      <c r="A318" s="90"/>
      <c r="B318" s="91"/>
      <c r="C318" s="91"/>
      <c r="D318" s="92"/>
      <c r="E318" s="91"/>
    </row>
    <row r="319" spans="1:5" x14ac:dyDescent="0.35">
      <c r="A319" s="90"/>
      <c r="B319" s="91"/>
      <c r="C319" s="91"/>
      <c r="D319" s="92"/>
      <c r="E319" s="91"/>
    </row>
    <row r="320" spans="1:5" x14ac:dyDescent="0.35">
      <c r="A320" s="90"/>
      <c r="B320" s="91"/>
      <c r="C320" s="91"/>
      <c r="D320" s="92"/>
      <c r="E320" s="91"/>
    </row>
    <row r="321" spans="1:5" x14ac:dyDescent="0.35">
      <c r="A321" s="90"/>
      <c r="B321" s="91"/>
      <c r="C321" s="91"/>
      <c r="D321" s="92"/>
      <c r="E321" s="91"/>
    </row>
    <row r="322" spans="1:5" x14ac:dyDescent="0.35">
      <c r="A322" s="90"/>
      <c r="B322" s="91"/>
      <c r="C322" s="91"/>
      <c r="D322" s="92"/>
      <c r="E322" s="91"/>
    </row>
    <row r="323" spans="1:5" x14ac:dyDescent="0.35">
      <c r="A323" s="90"/>
      <c r="B323" s="91"/>
      <c r="C323" s="91"/>
      <c r="D323" s="92"/>
      <c r="E323" s="91"/>
    </row>
    <row r="324" spans="1:5" x14ac:dyDescent="0.35">
      <c r="A324" s="90"/>
      <c r="B324" s="91"/>
      <c r="C324" s="91"/>
      <c r="D324" s="92"/>
      <c r="E324" s="91"/>
    </row>
    <row r="325" spans="1:5" x14ac:dyDescent="0.35">
      <c r="A325" s="90"/>
      <c r="B325" s="91"/>
      <c r="C325" s="91"/>
      <c r="D325" s="92"/>
      <c r="E325" s="91"/>
    </row>
    <row r="326" spans="1:5" x14ac:dyDescent="0.35">
      <c r="A326" s="90"/>
      <c r="B326" s="91"/>
      <c r="C326" s="91"/>
      <c r="D326" s="92"/>
      <c r="E326" s="91"/>
    </row>
    <row r="327" spans="1:5" x14ac:dyDescent="0.35">
      <c r="A327" s="90"/>
      <c r="B327" s="91"/>
      <c r="C327" s="91"/>
      <c r="D327" s="92"/>
      <c r="E327" s="91"/>
    </row>
    <row r="328" spans="1:5" x14ac:dyDescent="0.35">
      <c r="A328" s="90"/>
      <c r="B328" s="91"/>
      <c r="C328" s="91"/>
      <c r="D328" s="92"/>
      <c r="E328" s="91"/>
    </row>
    <row r="329" spans="1:5" x14ac:dyDescent="0.35">
      <c r="A329" s="90"/>
      <c r="B329" s="91"/>
      <c r="C329" s="91"/>
      <c r="D329" s="92"/>
      <c r="E329" s="91"/>
    </row>
    <row r="330" spans="1:5" x14ac:dyDescent="0.35">
      <c r="A330" s="90"/>
      <c r="B330" s="91"/>
      <c r="C330" s="91"/>
      <c r="D330" s="92"/>
      <c r="E330" s="91"/>
    </row>
    <row r="331" spans="1:5" x14ac:dyDescent="0.35">
      <c r="A331" s="90"/>
      <c r="B331" s="91"/>
      <c r="C331" s="91"/>
      <c r="D331" s="92"/>
      <c r="E331" s="91"/>
    </row>
    <row r="332" spans="1:5" x14ac:dyDescent="0.35">
      <c r="A332" s="90"/>
      <c r="B332" s="91"/>
      <c r="C332" s="91"/>
      <c r="D332" s="92"/>
      <c r="E332" s="91"/>
    </row>
    <row r="333" spans="1:5" x14ac:dyDescent="0.35">
      <c r="A333" s="90"/>
      <c r="B333" s="91"/>
      <c r="C333" s="91"/>
      <c r="D333" s="92"/>
      <c r="E333" s="91"/>
    </row>
    <row r="334" spans="1:5" x14ac:dyDescent="0.35">
      <c r="A334" s="90"/>
      <c r="B334" s="91"/>
      <c r="C334" s="91"/>
      <c r="D334" s="92"/>
      <c r="E334" s="91"/>
    </row>
    <row r="335" spans="1:5" x14ac:dyDescent="0.35">
      <c r="A335" s="90"/>
      <c r="B335" s="91"/>
      <c r="C335" s="91"/>
      <c r="D335" s="92"/>
      <c r="E335" s="91"/>
    </row>
    <row r="336" spans="1:5" x14ac:dyDescent="0.35">
      <c r="A336" s="90"/>
      <c r="B336" s="91"/>
      <c r="C336" s="91"/>
      <c r="D336" s="92"/>
      <c r="E336" s="91"/>
    </row>
    <row r="337" spans="1:5" x14ac:dyDescent="0.35">
      <c r="A337" s="90"/>
      <c r="B337" s="91"/>
      <c r="C337" s="91"/>
      <c r="D337" s="92"/>
      <c r="E337" s="91"/>
    </row>
    <row r="338" spans="1:5" x14ac:dyDescent="0.35">
      <c r="A338" s="90"/>
      <c r="B338" s="91"/>
      <c r="C338" s="91"/>
      <c r="D338" s="92"/>
      <c r="E338" s="91"/>
    </row>
    <row r="339" spans="1:5" x14ac:dyDescent="0.35">
      <c r="A339" s="90"/>
      <c r="B339" s="91"/>
      <c r="C339" s="91"/>
      <c r="D339" s="92"/>
      <c r="E339" s="91"/>
    </row>
    <row r="340" spans="1:5" x14ac:dyDescent="0.35">
      <c r="A340" s="90"/>
      <c r="B340" s="91"/>
      <c r="C340" s="91"/>
      <c r="D340" s="92"/>
      <c r="E340" s="91"/>
    </row>
    <row r="341" spans="1:5" x14ac:dyDescent="0.35">
      <c r="A341" s="90"/>
      <c r="B341" s="91"/>
      <c r="C341" s="91"/>
      <c r="D341" s="92"/>
      <c r="E341" s="91"/>
    </row>
    <row r="342" spans="1:5" x14ac:dyDescent="0.35">
      <c r="A342" s="90"/>
      <c r="B342" s="91"/>
      <c r="C342" s="91"/>
      <c r="D342" s="92"/>
      <c r="E342" s="91"/>
    </row>
    <row r="343" spans="1:5" x14ac:dyDescent="0.35">
      <c r="A343" s="90"/>
      <c r="B343" s="91"/>
      <c r="C343" s="91"/>
      <c r="D343" s="92"/>
      <c r="E343" s="91"/>
    </row>
    <row r="344" spans="1:5" x14ac:dyDescent="0.35">
      <c r="A344" s="90"/>
      <c r="B344" s="91"/>
      <c r="C344" s="91"/>
      <c r="D344" s="92"/>
      <c r="E344" s="91"/>
    </row>
    <row r="345" spans="1:5" x14ac:dyDescent="0.35">
      <c r="A345" s="90"/>
      <c r="B345" s="91"/>
      <c r="C345" s="91"/>
      <c r="D345" s="92"/>
      <c r="E345" s="91"/>
    </row>
    <row r="346" spans="1:5" x14ac:dyDescent="0.35">
      <c r="A346" s="90"/>
      <c r="B346" s="91"/>
      <c r="C346" s="91"/>
      <c r="D346" s="92"/>
      <c r="E346" s="91"/>
    </row>
    <row r="347" spans="1:5" x14ac:dyDescent="0.35">
      <c r="A347" s="90"/>
      <c r="B347" s="91"/>
      <c r="C347" s="91"/>
      <c r="D347" s="92"/>
      <c r="E347" s="91"/>
    </row>
    <row r="348" spans="1:5" x14ac:dyDescent="0.35">
      <c r="A348" s="90"/>
      <c r="B348" s="91"/>
      <c r="C348" s="91"/>
      <c r="D348" s="92"/>
      <c r="E348" s="91"/>
    </row>
    <row r="349" spans="1:5" x14ac:dyDescent="0.35">
      <c r="A349" s="90"/>
      <c r="B349" s="91"/>
      <c r="C349" s="91"/>
      <c r="D349" s="92"/>
      <c r="E349" s="91"/>
    </row>
    <row r="350" spans="1:5" x14ac:dyDescent="0.35">
      <c r="A350" s="90"/>
      <c r="B350" s="91"/>
      <c r="C350" s="91"/>
      <c r="D350" s="92"/>
      <c r="E350" s="91"/>
    </row>
    <row r="351" spans="1:5" x14ac:dyDescent="0.35">
      <c r="A351" s="90"/>
      <c r="B351" s="91"/>
      <c r="C351" s="91"/>
      <c r="D351" s="92"/>
      <c r="E351" s="91"/>
    </row>
    <row r="352" spans="1:5" x14ac:dyDescent="0.35">
      <c r="A352" s="90"/>
      <c r="B352" s="91"/>
      <c r="C352" s="91"/>
      <c r="D352" s="92"/>
      <c r="E352" s="91"/>
    </row>
    <row r="353" spans="1:5" x14ac:dyDescent="0.35">
      <c r="A353" s="90"/>
      <c r="B353" s="91"/>
      <c r="C353" s="91"/>
      <c r="D353" s="92"/>
      <c r="E353" s="91"/>
    </row>
    <row r="354" spans="1:5" x14ac:dyDescent="0.35">
      <c r="A354" s="90"/>
      <c r="B354" s="91"/>
      <c r="C354" s="91"/>
      <c r="D354" s="92"/>
      <c r="E354" s="91"/>
    </row>
    <row r="355" spans="1:5" x14ac:dyDescent="0.35">
      <c r="A355" s="90"/>
      <c r="B355" s="91"/>
      <c r="C355" s="91"/>
      <c r="D355" s="92"/>
      <c r="E355" s="91"/>
    </row>
    <row r="356" spans="1:5" x14ac:dyDescent="0.35">
      <c r="A356" s="90"/>
      <c r="B356" s="91"/>
      <c r="C356" s="91"/>
      <c r="D356" s="92"/>
      <c r="E356" s="91"/>
    </row>
    <row r="357" spans="1:5" x14ac:dyDescent="0.35">
      <c r="A357" s="90"/>
      <c r="B357" s="91"/>
      <c r="C357" s="91"/>
      <c r="D357" s="92"/>
      <c r="E357" s="91"/>
    </row>
    <row r="358" spans="1:5" x14ac:dyDescent="0.35">
      <c r="A358" s="90"/>
      <c r="B358" s="91"/>
      <c r="C358" s="91"/>
      <c r="D358" s="92"/>
      <c r="E358" s="91"/>
    </row>
    <row r="359" spans="1:5" x14ac:dyDescent="0.35">
      <c r="A359" s="90"/>
      <c r="B359" s="91"/>
      <c r="C359" s="91"/>
      <c r="D359" s="92"/>
      <c r="E359" s="91"/>
    </row>
    <row r="360" spans="1:5" x14ac:dyDescent="0.35">
      <c r="A360" s="90"/>
      <c r="B360" s="91"/>
      <c r="C360" s="91"/>
      <c r="D360" s="92"/>
      <c r="E360" s="91"/>
    </row>
    <row r="361" spans="1:5" x14ac:dyDescent="0.35">
      <c r="A361" s="90"/>
      <c r="B361" s="91"/>
      <c r="C361" s="91"/>
      <c r="D361" s="92"/>
      <c r="E361" s="91"/>
    </row>
    <row r="362" spans="1:5" x14ac:dyDescent="0.35">
      <c r="A362" s="90"/>
      <c r="B362" s="91"/>
      <c r="C362" s="91"/>
      <c r="D362" s="92"/>
      <c r="E362" s="91"/>
    </row>
    <row r="363" spans="1:5" x14ac:dyDescent="0.35">
      <c r="A363" s="90"/>
      <c r="B363" s="91"/>
      <c r="C363" s="91"/>
      <c r="D363" s="92"/>
      <c r="E363" s="91"/>
    </row>
    <row r="364" spans="1:5" x14ac:dyDescent="0.35">
      <c r="A364" s="90"/>
      <c r="B364" s="91"/>
      <c r="C364" s="91"/>
      <c r="D364" s="92"/>
      <c r="E364" s="91"/>
    </row>
    <row r="365" spans="1:5" x14ac:dyDescent="0.35">
      <c r="A365" s="90"/>
      <c r="B365" s="91"/>
      <c r="C365" s="91"/>
      <c r="D365" s="92"/>
      <c r="E365" s="91"/>
    </row>
    <row r="366" spans="1:5" x14ac:dyDescent="0.35">
      <c r="A366" s="90"/>
      <c r="B366" s="91"/>
      <c r="C366" s="91"/>
      <c r="D366" s="92"/>
      <c r="E366" s="91"/>
    </row>
    <row r="367" spans="1:5" x14ac:dyDescent="0.35">
      <c r="A367" s="90"/>
      <c r="B367" s="91"/>
      <c r="C367" s="91"/>
      <c r="D367" s="92"/>
      <c r="E367" s="91"/>
    </row>
    <row r="368" spans="1:5" x14ac:dyDescent="0.35">
      <c r="A368" s="90"/>
      <c r="B368" s="91"/>
      <c r="C368" s="91"/>
      <c r="D368" s="92"/>
      <c r="E368" s="91"/>
    </row>
    <row r="369" spans="1:5" x14ac:dyDescent="0.35">
      <c r="A369" s="90"/>
      <c r="B369" s="91"/>
      <c r="C369" s="91"/>
      <c r="D369" s="92"/>
      <c r="E369" s="91"/>
    </row>
    <row r="370" spans="1:5" x14ac:dyDescent="0.35">
      <c r="A370" s="90"/>
      <c r="B370" s="91"/>
      <c r="C370" s="91"/>
      <c r="D370" s="92"/>
      <c r="E370" s="91"/>
    </row>
    <row r="371" spans="1:5" x14ac:dyDescent="0.35">
      <c r="A371" s="90"/>
      <c r="B371" s="91"/>
      <c r="C371" s="91"/>
      <c r="D371" s="92"/>
      <c r="E371" s="91"/>
    </row>
    <row r="372" spans="1:5" x14ac:dyDescent="0.35">
      <c r="A372" s="90"/>
      <c r="B372" s="91"/>
      <c r="C372" s="91"/>
      <c r="D372" s="92"/>
      <c r="E372" s="91"/>
    </row>
    <row r="373" spans="1:5" x14ac:dyDescent="0.35">
      <c r="A373" s="90"/>
      <c r="B373" s="91"/>
      <c r="C373" s="91"/>
      <c r="D373" s="92"/>
      <c r="E373" s="91"/>
    </row>
    <row r="374" spans="1:5" x14ac:dyDescent="0.35">
      <c r="A374" s="90"/>
      <c r="B374" s="91"/>
      <c r="C374" s="91"/>
      <c r="D374" s="92"/>
      <c r="E374" s="91"/>
    </row>
    <row r="375" spans="1:5" x14ac:dyDescent="0.35">
      <c r="A375" s="90"/>
      <c r="B375" s="91"/>
      <c r="C375" s="91"/>
      <c r="D375" s="92"/>
      <c r="E375" s="91"/>
    </row>
    <row r="376" spans="1:5" x14ac:dyDescent="0.35">
      <c r="A376" s="90"/>
      <c r="B376" s="91"/>
      <c r="C376" s="91"/>
      <c r="D376" s="92"/>
      <c r="E376" s="91"/>
    </row>
    <row r="377" spans="1:5" x14ac:dyDescent="0.35">
      <c r="A377" s="90"/>
      <c r="B377" s="91"/>
      <c r="C377" s="91"/>
      <c r="D377" s="92"/>
      <c r="E377" s="91"/>
    </row>
    <row r="378" spans="1:5" x14ac:dyDescent="0.35">
      <c r="A378" s="90"/>
      <c r="B378" s="91"/>
      <c r="C378" s="91"/>
      <c r="D378" s="92"/>
      <c r="E378" s="91"/>
    </row>
    <row r="379" spans="1:5" x14ac:dyDescent="0.35">
      <c r="A379" s="90"/>
      <c r="B379" s="91"/>
      <c r="C379" s="91"/>
      <c r="D379" s="92"/>
      <c r="E379" s="91"/>
    </row>
    <row r="380" spans="1:5" x14ac:dyDescent="0.35">
      <c r="A380" s="90"/>
      <c r="B380" s="91"/>
      <c r="C380" s="91"/>
      <c r="D380" s="92"/>
      <c r="E380" s="91"/>
    </row>
    <row r="381" spans="1:5" x14ac:dyDescent="0.35">
      <c r="A381" s="90"/>
      <c r="B381" s="91"/>
      <c r="C381" s="91"/>
      <c r="D381" s="92"/>
      <c r="E381" s="91"/>
    </row>
    <row r="382" spans="1:5" x14ac:dyDescent="0.35">
      <c r="A382" s="90"/>
      <c r="B382" s="91"/>
      <c r="C382" s="91"/>
      <c r="D382" s="92"/>
      <c r="E382" s="91"/>
    </row>
    <row r="383" spans="1:5" x14ac:dyDescent="0.35">
      <c r="A383" s="90"/>
      <c r="B383" s="91"/>
      <c r="C383" s="91"/>
      <c r="D383" s="92"/>
      <c r="E383" s="91"/>
    </row>
    <row r="384" spans="1:5" x14ac:dyDescent="0.35">
      <c r="A384" s="90"/>
      <c r="B384" s="91"/>
      <c r="C384" s="91"/>
      <c r="D384" s="92"/>
      <c r="E384" s="91"/>
    </row>
    <row r="385" spans="1:5" x14ac:dyDescent="0.35">
      <c r="A385" s="90"/>
      <c r="B385" s="91"/>
      <c r="C385" s="91"/>
      <c r="D385" s="92"/>
      <c r="E385" s="91"/>
    </row>
    <row r="386" spans="1:5" x14ac:dyDescent="0.35">
      <c r="A386" s="90"/>
      <c r="B386" s="91"/>
      <c r="C386" s="91"/>
      <c r="D386" s="92"/>
      <c r="E386" s="91"/>
    </row>
    <row r="387" spans="1:5" x14ac:dyDescent="0.35">
      <c r="A387" s="90"/>
      <c r="B387" s="91"/>
      <c r="C387" s="91"/>
      <c r="D387" s="92"/>
      <c r="E387" s="91"/>
    </row>
    <row r="388" spans="1:5" x14ac:dyDescent="0.35">
      <c r="A388" s="90"/>
      <c r="B388" s="91"/>
      <c r="C388" s="91"/>
      <c r="D388" s="92"/>
      <c r="E388" s="91"/>
    </row>
    <row r="389" spans="1:5" x14ac:dyDescent="0.35">
      <c r="A389" s="90"/>
      <c r="B389" s="91"/>
      <c r="C389" s="91"/>
      <c r="D389" s="92"/>
      <c r="E389" s="91"/>
    </row>
    <row r="390" spans="1:5" x14ac:dyDescent="0.35">
      <c r="A390" s="90"/>
      <c r="B390" s="91"/>
      <c r="C390" s="91"/>
      <c r="D390" s="92"/>
      <c r="E390" s="91"/>
    </row>
    <row r="391" spans="1:5" x14ac:dyDescent="0.35">
      <c r="A391" s="90"/>
      <c r="B391" s="91"/>
      <c r="C391" s="91"/>
      <c r="D391" s="92"/>
      <c r="E391" s="91"/>
    </row>
    <row r="392" spans="1:5" x14ac:dyDescent="0.35">
      <c r="A392" s="90"/>
      <c r="B392" s="91"/>
      <c r="C392" s="91"/>
      <c r="D392" s="92"/>
      <c r="E392" s="91"/>
    </row>
    <row r="393" spans="1:5" x14ac:dyDescent="0.35">
      <c r="A393" s="90"/>
      <c r="B393" s="91"/>
      <c r="C393" s="91"/>
      <c r="D393" s="92"/>
      <c r="E393" s="91"/>
    </row>
    <row r="394" spans="1:5" x14ac:dyDescent="0.35">
      <c r="A394" s="90"/>
      <c r="B394" s="91"/>
      <c r="C394" s="91"/>
      <c r="D394" s="92"/>
      <c r="E394" s="91"/>
    </row>
    <row r="395" spans="1:5" x14ac:dyDescent="0.35">
      <c r="A395" s="90"/>
      <c r="B395" s="91"/>
      <c r="C395" s="91"/>
      <c r="D395" s="92"/>
      <c r="E395" s="91"/>
    </row>
    <row r="396" spans="1:5" x14ac:dyDescent="0.35">
      <c r="A396" s="90"/>
      <c r="B396" s="91"/>
      <c r="C396" s="91"/>
      <c r="D396" s="92"/>
      <c r="E396" s="91"/>
    </row>
    <row r="397" spans="1:5" x14ac:dyDescent="0.35">
      <c r="A397" s="90"/>
      <c r="B397" s="91"/>
      <c r="C397" s="91"/>
      <c r="D397" s="92"/>
      <c r="E397" s="91"/>
    </row>
    <row r="398" spans="1:5" x14ac:dyDescent="0.35">
      <c r="A398" s="90"/>
      <c r="B398" s="91"/>
      <c r="C398" s="91"/>
      <c r="D398" s="92"/>
      <c r="E398" s="91"/>
    </row>
    <row r="399" spans="1:5" x14ac:dyDescent="0.35">
      <c r="A399" s="90"/>
      <c r="B399" s="91"/>
      <c r="C399" s="91"/>
      <c r="D399" s="92"/>
      <c r="E399" s="91"/>
    </row>
    <row r="400" spans="1:5" x14ac:dyDescent="0.35">
      <c r="A400" s="90"/>
      <c r="B400" s="91"/>
      <c r="C400" s="91"/>
      <c r="D400" s="92"/>
      <c r="E400" s="91"/>
    </row>
    <row r="401" spans="1:5" x14ac:dyDescent="0.35">
      <c r="A401" s="90"/>
      <c r="B401" s="91"/>
      <c r="C401" s="91"/>
      <c r="D401" s="92"/>
      <c r="E401" s="91"/>
    </row>
    <row r="402" spans="1:5" x14ac:dyDescent="0.35">
      <c r="A402" s="90"/>
      <c r="B402" s="91"/>
      <c r="C402" s="91"/>
      <c r="D402" s="92"/>
      <c r="E402" s="91"/>
    </row>
    <row r="403" spans="1:5" x14ac:dyDescent="0.35">
      <c r="A403" s="90"/>
      <c r="B403" s="91"/>
      <c r="C403" s="91"/>
      <c r="D403" s="92"/>
      <c r="E403" s="91"/>
    </row>
    <row r="404" spans="1:5" x14ac:dyDescent="0.35">
      <c r="A404" s="90"/>
      <c r="B404" s="91"/>
      <c r="C404" s="91"/>
      <c r="D404" s="92"/>
      <c r="E404" s="91"/>
    </row>
    <row r="405" spans="1:5" x14ac:dyDescent="0.35">
      <c r="A405" s="90"/>
      <c r="B405" s="91"/>
      <c r="C405" s="91"/>
      <c r="D405" s="92"/>
      <c r="E405" s="91"/>
    </row>
    <row r="406" spans="1:5" x14ac:dyDescent="0.35">
      <c r="A406" s="90"/>
      <c r="B406" s="91"/>
      <c r="C406" s="91"/>
      <c r="D406" s="92"/>
      <c r="E406" s="91"/>
    </row>
    <row r="407" spans="1:5" x14ac:dyDescent="0.35">
      <c r="A407" s="90"/>
      <c r="B407" s="91"/>
      <c r="C407" s="91"/>
      <c r="D407" s="92"/>
      <c r="E407" s="91"/>
    </row>
    <row r="408" spans="1:5" x14ac:dyDescent="0.35">
      <c r="A408" s="90"/>
      <c r="B408" s="91"/>
      <c r="C408" s="91"/>
      <c r="D408" s="92"/>
      <c r="E408" s="91"/>
    </row>
    <row r="409" spans="1:5" x14ac:dyDescent="0.35">
      <c r="A409" s="90"/>
      <c r="B409" s="91"/>
      <c r="C409" s="91"/>
      <c r="D409" s="92"/>
      <c r="E409" s="91"/>
    </row>
    <row r="410" spans="1:5" x14ac:dyDescent="0.35">
      <c r="A410" s="90"/>
      <c r="B410" s="91"/>
      <c r="C410" s="91"/>
      <c r="D410" s="92"/>
      <c r="E410" s="91"/>
    </row>
    <row r="411" spans="1:5" x14ac:dyDescent="0.35">
      <c r="A411" s="90"/>
      <c r="B411" s="91"/>
      <c r="C411" s="91"/>
      <c r="D411" s="92"/>
      <c r="E411" s="91"/>
    </row>
    <row r="412" spans="1:5" x14ac:dyDescent="0.35">
      <c r="A412" s="90"/>
      <c r="B412" s="91"/>
      <c r="C412" s="91"/>
      <c r="D412" s="92"/>
      <c r="E412" s="91"/>
    </row>
    <row r="413" spans="1:5" x14ac:dyDescent="0.35">
      <c r="A413" s="90"/>
      <c r="B413" s="91"/>
      <c r="C413" s="91"/>
      <c r="D413" s="92"/>
      <c r="E413" s="91"/>
    </row>
    <row r="414" spans="1:5" x14ac:dyDescent="0.35">
      <c r="A414" s="90"/>
      <c r="B414" s="91"/>
      <c r="C414" s="91"/>
      <c r="D414" s="92"/>
      <c r="E414" s="91"/>
    </row>
    <row r="415" spans="1:5" x14ac:dyDescent="0.35">
      <c r="A415" s="90"/>
      <c r="B415" s="91"/>
      <c r="C415" s="91"/>
      <c r="D415" s="92"/>
      <c r="E415" s="91"/>
    </row>
    <row r="416" spans="1:5" x14ac:dyDescent="0.35">
      <c r="A416" s="90"/>
      <c r="B416" s="91"/>
      <c r="C416" s="91"/>
      <c r="D416" s="92"/>
      <c r="E416" s="91"/>
    </row>
    <row r="417" spans="1:5" x14ac:dyDescent="0.35">
      <c r="A417" s="90"/>
      <c r="B417" s="91"/>
      <c r="C417" s="91"/>
      <c r="D417" s="92"/>
      <c r="E417" s="91"/>
    </row>
    <row r="418" spans="1:5" x14ac:dyDescent="0.35">
      <c r="A418" s="90"/>
      <c r="B418" s="91"/>
      <c r="C418" s="91"/>
      <c r="D418" s="92"/>
      <c r="E418" s="91"/>
    </row>
    <row r="419" spans="1:5" x14ac:dyDescent="0.35">
      <c r="A419" s="90"/>
      <c r="B419" s="91"/>
      <c r="C419" s="91"/>
      <c r="D419" s="92"/>
      <c r="E419" s="91"/>
    </row>
    <row r="420" spans="1:5" x14ac:dyDescent="0.35">
      <c r="A420" s="90"/>
      <c r="B420" s="91"/>
      <c r="C420" s="91"/>
      <c r="D420" s="92"/>
      <c r="E420" s="91"/>
    </row>
    <row r="421" spans="1:5" x14ac:dyDescent="0.35">
      <c r="A421" s="90"/>
      <c r="B421" s="91"/>
      <c r="C421" s="91"/>
      <c r="D421" s="92"/>
      <c r="E421" s="91"/>
    </row>
    <row r="422" spans="1:5" x14ac:dyDescent="0.35">
      <c r="A422" s="90"/>
      <c r="B422" s="91"/>
      <c r="C422" s="91"/>
      <c r="D422" s="92"/>
      <c r="E422" s="91"/>
    </row>
    <row r="423" spans="1:5" x14ac:dyDescent="0.35">
      <c r="A423" s="90"/>
      <c r="B423" s="91"/>
      <c r="C423" s="91"/>
      <c r="D423" s="92"/>
      <c r="E423" s="91"/>
    </row>
    <row r="424" spans="1:5" x14ac:dyDescent="0.35">
      <c r="A424" s="90"/>
      <c r="B424" s="91"/>
      <c r="C424" s="91"/>
      <c r="D424" s="92"/>
      <c r="E424" s="91"/>
    </row>
    <row r="425" spans="1:5" x14ac:dyDescent="0.35">
      <c r="A425" s="90"/>
      <c r="B425" s="91"/>
      <c r="C425" s="91"/>
      <c r="D425" s="92"/>
      <c r="E425" s="91"/>
    </row>
    <row r="426" spans="1:5" x14ac:dyDescent="0.35">
      <c r="A426" s="90"/>
      <c r="B426" s="91"/>
      <c r="C426" s="91"/>
      <c r="D426" s="92"/>
      <c r="E426" s="91"/>
    </row>
    <row r="427" spans="1:5" x14ac:dyDescent="0.35">
      <c r="A427" s="90"/>
      <c r="B427" s="91"/>
      <c r="C427" s="91"/>
      <c r="D427" s="92"/>
      <c r="E427" s="91"/>
    </row>
    <row r="428" spans="1:5" x14ac:dyDescent="0.35">
      <c r="A428" s="90"/>
      <c r="B428" s="91"/>
      <c r="C428" s="91"/>
      <c r="D428" s="92"/>
      <c r="E428" s="91"/>
    </row>
    <row r="429" spans="1:5" x14ac:dyDescent="0.35">
      <c r="A429" s="90"/>
      <c r="B429" s="91"/>
      <c r="C429" s="91"/>
      <c r="D429" s="92"/>
      <c r="E429" s="91"/>
    </row>
    <row r="430" spans="1:5" x14ac:dyDescent="0.35">
      <c r="A430" s="90"/>
      <c r="B430" s="91"/>
      <c r="C430" s="91"/>
      <c r="D430" s="92"/>
      <c r="E430" s="91"/>
    </row>
    <row r="431" spans="1:5" x14ac:dyDescent="0.35">
      <c r="A431" s="90"/>
      <c r="B431" s="91"/>
      <c r="C431" s="91"/>
      <c r="D431" s="92"/>
      <c r="E431" s="91"/>
    </row>
    <row r="432" spans="1:5" x14ac:dyDescent="0.35">
      <c r="A432" s="90"/>
      <c r="B432" s="91"/>
      <c r="C432" s="91"/>
      <c r="D432" s="92"/>
      <c r="E432" s="91"/>
    </row>
    <row r="433" spans="1:5" x14ac:dyDescent="0.35">
      <c r="A433" s="90"/>
      <c r="B433" s="91"/>
      <c r="C433" s="91"/>
      <c r="D433" s="92"/>
      <c r="E433" s="91"/>
    </row>
    <row r="434" spans="1:5" x14ac:dyDescent="0.35">
      <c r="A434" s="90"/>
      <c r="B434" s="91"/>
      <c r="C434" s="91"/>
      <c r="D434" s="92"/>
      <c r="E434" s="91"/>
    </row>
    <row r="435" spans="1:5" x14ac:dyDescent="0.35">
      <c r="A435" s="90"/>
      <c r="B435" s="91"/>
      <c r="C435" s="91"/>
      <c r="D435" s="92"/>
      <c r="E435" s="91"/>
    </row>
    <row r="436" spans="1:5" x14ac:dyDescent="0.35">
      <c r="A436" s="90"/>
      <c r="B436" s="91"/>
      <c r="C436" s="91"/>
      <c r="D436" s="92"/>
      <c r="E436" s="91"/>
    </row>
    <row r="437" spans="1:5" x14ac:dyDescent="0.35">
      <c r="A437" s="90"/>
      <c r="B437" s="91"/>
      <c r="C437" s="91"/>
      <c r="D437" s="92"/>
      <c r="E437" s="91"/>
    </row>
    <row r="438" spans="1:5" x14ac:dyDescent="0.35">
      <c r="A438" s="90"/>
      <c r="B438" s="91"/>
      <c r="C438" s="91"/>
      <c r="D438" s="92"/>
      <c r="E438" s="91"/>
    </row>
    <row r="439" spans="1:5" x14ac:dyDescent="0.35">
      <c r="A439" s="90"/>
      <c r="B439" s="91"/>
      <c r="C439" s="91"/>
      <c r="D439" s="92"/>
      <c r="E439" s="91"/>
    </row>
    <row r="440" spans="1:5" x14ac:dyDescent="0.35">
      <c r="A440" s="90"/>
      <c r="B440" s="91"/>
      <c r="C440" s="91"/>
      <c r="D440" s="92"/>
      <c r="E440" s="91"/>
    </row>
    <row r="441" spans="1:5" x14ac:dyDescent="0.35">
      <c r="A441" s="90"/>
      <c r="B441" s="91"/>
      <c r="C441" s="91"/>
      <c r="D441" s="92"/>
      <c r="E441" s="91"/>
    </row>
    <row r="442" spans="1:5" x14ac:dyDescent="0.35">
      <c r="A442" s="90"/>
      <c r="B442" s="91"/>
      <c r="C442" s="91"/>
      <c r="D442" s="92"/>
      <c r="E442" s="91"/>
    </row>
    <row r="443" spans="1:5" x14ac:dyDescent="0.35">
      <c r="A443" s="90"/>
      <c r="B443" s="91"/>
      <c r="C443" s="91"/>
      <c r="D443" s="92"/>
      <c r="E443" s="91"/>
    </row>
    <row r="444" spans="1:5" x14ac:dyDescent="0.35">
      <c r="A444" s="90"/>
      <c r="B444" s="91"/>
      <c r="C444" s="91"/>
      <c r="D444" s="92"/>
      <c r="E444" s="91"/>
    </row>
    <row r="445" spans="1:5" x14ac:dyDescent="0.35">
      <c r="A445" s="90"/>
      <c r="B445" s="91"/>
      <c r="C445" s="91"/>
      <c r="D445" s="92"/>
      <c r="E445" s="91"/>
    </row>
    <row r="446" spans="1:5" x14ac:dyDescent="0.35">
      <c r="A446" s="90"/>
      <c r="B446" s="91"/>
      <c r="C446" s="91"/>
      <c r="D446" s="92"/>
      <c r="E446" s="91"/>
    </row>
    <row r="447" spans="1:5" x14ac:dyDescent="0.35">
      <c r="A447" s="90"/>
      <c r="B447" s="91"/>
      <c r="C447" s="91"/>
      <c r="D447" s="92"/>
      <c r="E447" s="91"/>
    </row>
    <row r="448" spans="1:5" x14ac:dyDescent="0.35">
      <c r="A448" s="90"/>
      <c r="B448" s="91"/>
      <c r="C448" s="91"/>
      <c r="D448" s="92"/>
      <c r="E448" s="91"/>
    </row>
    <row r="449" spans="1:5" x14ac:dyDescent="0.35">
      <c r="A449" s="90"/>
      <c r="B449" s="91"/>
      <c r="C449" s="91"/>
      <c r="D449" s="92"/>
      <c r="E449" s="91"/>
    </row>
    <row r="450" spans="1:5" x14ac:dyDescent="0.35">
      <c r="A450" s="90"/>
      <c r="B450" s="91"/>
      <c r="C450" s="91"/>
      <c r="D450" s="92"/>
      <c r="E450" s="91"/>
    </row>
    <row r="451" spans="1:5" x14ac:dyDescent="0.35">
      <c r="A451" s="90"/>
      <c r="B451" s="91"/>
      <c r="C451" s="91"/>
      <c r="D451" s="92"/>
      <c r="E451" s="91"/>
    </row>
    <row r="452" spans="1:5" x14ac:dyDescent="0.35">
      <c r="A452" s="90"/>
      <c r="B452" s="91"/>
      <c r="C452" s="91"/>
      <c r="D452" s="92"/>
      <c r="E452" s="91"/>
    </row>
    <row r="453" spans="1:5" x14ac:dyDescent="0.35">
      <c r="A453" s="90"/>
      <c r="B453" s="91"/>
      <c r="C453" s="91"/>
      <c r="D453" s="92"/>
      <c r="E453" s="91"/>
    </row>
    <row r="454" spans="1:5" x14ac:dyDescent="0.35">
      <c r="A454" s="90"/>
      <c r="B454" s="91"/>
      <c r="C454" s="91"/>
      <c r="D454" s="92"/>
      <c r="E454" s="91"/>
    </row>
    <row r="455" spans="1:5" x14ac:dyDescent="0.35">
      <c r="A455" s="90"/>
      <c r="B455" s="91"/>
      <c r="C455" s="91"/>
      <c r="D455" s="92"/>
      <c r="E455" s="91"/>
    </row>
    <row r="456" spans="1:5" x14ac:dyDescent="0.35">
      <c r="A456" s="90"/>
      <c r="B456" s="91"/>
      <c r="C456" s="91"/>
      <c r="D456" s="92"/>
      <c r="E456" s="91"/>
    </row>
    <row r="457" spans="1:5" x14ac:dyDescent="0.35">
      <c r="A457" s="90"/>
      <c r="B457" s="91"/>
      <c r="C457" s="91"/>
      <c r="D457" s="92"/>
      <c r="E457" s="91"/>
    </row>
    <row r="458" spans="1:5" x14ac:dyDescent="0.35">
      <c r="A458" s="90"/>
      <c r="B458" s="91"/>
      <c r="C458" s="91"/>
      <c r="D458" s="92"/>
      <c r="E458" s="91"/>
    </row>
    <row r="459" spans="1:5" x14ac:dyDescent="0.35">
      <c r="A459" s="90"/>
      <c r="B459" s="91"/>
      <c r="C459" s="91"/>
      <c r="D459" s="92"/>
      <c r="E459" s="91"/>
    </row>
    <row r="460" spans="1:5" x14ac:dyDescent="0.35">
      <c r="A460" s="90"/>
      <c r="B460" s="91"/>
      <c r="C460" s="91"/>
      <c r="D460" s="92"/>
      <c r="E460" s="91"/>
    </row>
    <row r="461" spans="1:5" x14ac:dyDescent="0.35">
      <c r="A461" s="90"/>
      <c r="B461" s="91"/>
      <c r="C461" s="91"/>
      <c r="D461" s="92"/>
      <c r="E461" s="91"/>
    </row>
    <row r="462" spans="1:5" x14ac:dyDescent="0.35">
      <c r="A462" s="90"/>
      <c r="B462" s="91"/>
      <c r="C462" s="91"/>
      <c r="D462" s="92"/>
      <c r="E462" s="91"/>
    </row>
    <row r="463" spans="1:5" x14ac:dyDescent="0.35">
      <c r="A463" s="90"/>
      <c r="B463" s="91"/>
      <c r="C463" s="91"/>
      <c r="D463" s="92"/>
      <c r="E463" s="91"/>
    </row>
    <row r="464" spans="1:5" x14ac:dyDescent="0.35">
      <c r="A464" s="90"/>
      <c r="B464" s="91"/>
      <c r="C464" s="91"/>
      <c r="D464" s="92"/>
      <c r="E464" s="91"/>
    </row>
    <row r="465" spans="1:5" x14ac:dyDescent="0.35">
      <c r="A465" s="90"/>
      <c r="B465" s="91"/>
      <c r="C465" s="91"/>
      <c r="D465" s="92"/>
      <c r="E465" s="91"/>
    </row>
    <row r="466" spans="1:5" x14ac:dyDescent="0.35">
      <c r="A466" s="90"/>
      <c r="B466" s="91"/>
      <c r="C466" s="91"/>
      <c r="D466" s="92"/>
      <c r="E466" s="91"/>
    </row>
    <row r="467" spans="1:5" x14ac:dyDescent="0.35">
      <c r="A467" s="90"/>
      <c r="B467" s="91"/>
      <c r="C467" s="91"/>
      <c r="D467" s="92"/>
      <c r="E467" s="91"/>
    </row>
    <row r="468" spans="1:5" x14ac:dyDescent="0.35">
      <c r="A468" s="90"/>
      <c r="B468" s="91"/>
      <c r="C468" s="91"/>
      <c r="D468" s="92"/>
      <c r="E468" s="91"/>
    </row>
    <row r="469" spans="1:5" x14ac:dyDescent="0.35">
      <c r="A469" s="90"/>
      <c r="B469" s="91"/>
      <c r="C469" s="91"/>
      <c r="D469" s="92"/>
      <c r="E469" s="91"/>
    </row>
    <row r="470" spans="1:5" x14ac:dyDescent="0.35">
      <c r="A470" s="90"/>
      <c r="B470" s="91"/>
      <c r="C470" s="91"/>
      <c r="D470" s="92"/>
      <c r="E470" s="91"/>
    </row>
    <row r="471" spans="1:5" x14ac:dyDescent="0.35">
      <c r="A471" s="90"/>
      <c r="B471" s="91"/>
      <c r="C471" s="91"/>
      <c r="D471" s="92"/>
      <c r="E471" s="91"/>
    </row>
    <row r="472" spans="1:5" x14ac:dyDescent="0.35">
      <c r="A472" s="90"/>
      <c r="B472" s="91"/>
      <c r="C472" s="91"/>
      <c r="D472" s="92"/>
      <c r="E472" s="91"/>
    </row>
    <row r="473" spans="1:5" x14ac:dyDescent="0.35">
      <c r="A473" s="90"/>
      <c r="B473" s="91"/>
      <c r="C473" s="91"/>
      <c r="D473" s="92"/>
      <c r="E473" s="91"/>
    </row>
    <row r="474" spans="1:5" x14ac:dyDescent="0.35">
      <c r="A474" s="90"/>
      <c r="B474" s="91"/>
      <c r="C474" s="91"/>
      <c r="D474" s="92"/>
      <c r="E474" s="91"/>
    </row>
    <row r="475" spans="1:5" x14ac:dyDescent="0.35">
      <c r="A475" s="90"/>
      <c r="B475" s="91"/>
      <c r="C475" s="91"/>
      <c r="D475" s="92"/>
      <c r="E475" s="91"/>
    </row>
    <row r="476" spans="1:5" x14ac:dyDescent="0.35">
      <c r="A476" s="90"/>
      <c r="B476" s="91"/>
      <c r="C476" s="91"/>
      <c r="D476" s="92"/>
      <c r="E476" s="91"/>
    </row>
    <row r="477" spans="1:5" x14ac:dyDescent="0.35">
      <c r="A477" s="90"/>
      <c r="B477" s="91"/>
      <c r="C477" s="91"/>
      <c r="D477" s="92"/>
      <c r="E477" s="91"/>
    </row>
    <row r="478" spans="1:5" x14ac:dyDescent="0.35">
      <c r="A478" s="90"/>
      <c r="B478" s="91"/>
      <c r="C478" s="91"/>
      <c r="D478" s="92"/>
      <c r="E478" s="91"/>
    </row>
    <row r="479" spans="1:5" x14ac:dyDescent="0.35">
      <c r="A479" s="90"/>
      <c r="B479" s="91"/>
      <c r="C479" s="91"/>
      <c r="D479" s="92"/>
      <c r="E479" s="91"/>
    </row>
    <row r="480" spans="1:5" x14ac:dyDescent="0.35">
      <c r="A480" s="90"/>
      <c r="B480" s="91"/>
      <c r="C480" s="91"/>
      <c r="D480" s="92"/>
      <c r="E480" s="91"/>
    </row>
    <row r="481" spans="1:5" x14ac:dyDescent="0.35">
      <c r="A481" s="90"/>
      <c r="B481" s="91"/>
      <c r="C481" s="91"/>
      <c r="D481" s="92"/>
      <c r="E481" s="91"/>
    </row>
    <row r="482" spans="1:5" x14ac:dyDescent="0.35">
      <c r="A482" s="90"/>
      <c r="B482" s="91"/>
      <c r="C482" s="91"/>
      <c r="D482" s="92"/>
      <c r="E482" s="91"/>
    </row>
    <row r="483" spans="1:5" x14ac:dyDescent="0.35">
      <c r="A483" s="90"/>
      <c r="B483" s="91"/>
      <c r="C483" s="91"/>
      <c r="D483" s="92"/>
      <c r="E483" s="91"/>
    </row>
    <row r="484" spans="1:5" x14ac:dyDescent="0.35">
      <c r="A484" s="90"/>
      <c r="B484" s="91"/>
      <c r="C484" s="91"/>
      <c r="D484" s="92"/>
      <c r="E484" s="91"/>
    </row>
    <row r="485" spans="1:5" x14ac:dyDescent="0.35">
      <c r="A485" s="90"/>
      <c r="B485" s="91"/>
      <c r="C485" s="91"/>
      <c r="D485" s="92"/>
      <c r="E485" s="91"/>
    </row>
    <row r="486" spans="1:5" x14ac:dyDescent="0.35">
      <c r="A486" s="90"/>
      <c r="B486" s="91"/>
      <c r="C486" s="91"/>
      <c r="D486" s="92"/>
      <c r="E486" s="91"/>
    </row>
    <row r="487" spans="1:5" x14ac:dyDescent="0.35">
      <c r="A487" s="90"/>
      <c r="B487" s="91"/>
      <c r="C487" s="91"/>
      <c r="D487" s="92"/>
      <c r="E487" s="91"/>
    </row>
    <row r="488" spans="1:5" x14ac:dyDescent="0.35">
      <c r="A488" s="90"/>
      <c r="B488" s="91"/>
      <c r="C488" s="91"/>
      <c r="D488" s="92"/>
      <c r="E488" s="91"/>
    </row>
    <row r="489" spans="1:5" x14ac:dyDescent="0.35">
      <c r="A489" s="90"/>
      <c r="B489" s="91"/>
      <c r="C489" s="91"/>
      <c r="D489" s="92"/>
      <c r="E489" s="91"/>
    </row>
    <row r="490" spans="1:5" x14ac:dyDescent="0.35">
      <c r="A490" s="90"/>
      <c r="B490" s="91"/>
      <c r="C490" s="91"/>
      <c r="D490" s="92"/>
      <c r="E490" s="91"/>
    </row>
    <row r="491" spans="1:5" x14ac:dyDescent="0.35">
      <c r="A491" s="90"/>
      <c r="B491" s="91"/>
      <c r="C491" s="91"/>
      <c r="D491" s="92"/>
      <c r="E491" s="91"/>
    </row>
    <row r="492" spans="1:5" x14ac:dyDescent="0.35">
      <c r="A492" s="90"/>
      <c r="B492" s="91"/>
      <c r="C492" s="91"/>
      <c r="D492" s="92"/>
      <c r="E492" s="91"/>
    </row>
    <row r="493" spans="1:5" x14ac:dyDescent="0.35">
      <c r="A493" s="90"/>
      <c r="B493" s="91"/>
      <c r="C493" s="91"/>
      <c r="D493" s="92"/>
      <c r="E493" s="91"/>
    </row>
    <row r="494" spans="1:5" x14ac:dyDescent="0.35">
      <c r="A494" s="90"/>
      <c r="B494" s="91"/>
      <c r="C494" s="91"/>
      <c r="D494" s="92"/>
      <c r="E494" s="91"/>
    </row>
    <row r="495" spans="1:5" x14ac:dyDescent="0.35">
      <c r="A495" s="90"/>
      <c r="B495" s="91"/>
      <c r="C495" s="91"/>
      <c r="D495" s="92"/>
      <c r="E495" s="91"/>
    </row>
    <row r="496" spans="1:5" x14ac:dyDescent="0.35">
      <c r="A496" s="90"/>
      <c r="B496" s="91"/>
      <c r="C496" s="91"/>
      <c r="D496" s="92"/>
      <c r="E496" s="91"/>
    </row>
    <row r="497" spans="1:5" x14ac:dyDescent="0.35">
      <c r="A497" s="90"/>
      <c r="B497" s="91"/>
      <c r="C497" s="91"/>
      <c r="D497" s="92"/>
      <c r="E497" s="91"/>
    </row>
    <row r="498" spans="1:5" x14ac:dyDescent="0.35">
      <c r="A498" s="90"/>
      <c r="B498" s="91"/>
      <c r="C498" s="91"/>
      <c r="D498" s="92"/>
      <c r="E498" s="91"/>
    </row>
    <row r="499" spans="1:5" x14ac:dyDescent="0.35">
      <c r="A499" s="90"/>
      <c r="B499" s="91"/>
      <c r="C499" s="91"/>
      <c r="D499" s="92"/>
      <c r="E499" s="91"/>
    </row>
    <row r="500" spans="1:5" x14ac:dyDescent="0.35">
      <c r="A500" s="90"/>
      <c r="B500" s="91"/>
      <c r="C500" s="91"/>
      <c r="D500" s="92"/>
      <c r="E500" s="91"/>
    </row>
    <row r="501" spans="1:5" x14ac:dyDescent="0.35">
      <c r="A501" s="90"/>
      <c r="B501" s="91"/>
      <c r="C501" s="91"/>
      <c r="D501" s="92"/>
      <c r="E501" s="91"/>
    </row>
    <row r="502" spans="1:5" x14ac:dyDescent="0.35">
      <c r="A502" s="90"/>
      <c r="B502" s="91"/>
      <c r="C502" s="91"/>
      <c r="D502" s="92"/>
      <c r="E502" s="91"/>
    </row>
    <row r="503" spans="1:5" x14ac:dyDescent="0.35">
      <c r="A503" s="90"/>
      <c r="B503" s="91"/>
      <c r="C503" s="91"/>
      <c r="D503" s="92"/>
      <c r="E503" s="91"/>
    </row>
    <row r="504" spans="1:5" x14ac:dyDescent="0.35">
      <c r="A504" s="90"/>
      <c r="B504" s="91"/>
      <c r="C504" s="91"/>
      <c r="D504" s="92"/>
      <c r="E504" s="91"/>
    </row>
    <row r="505" spans="1:5" x14ac:dyDescent="0.35">
      <c r="A505" s="90"/>
      <c r="B505" s="91"/>
      <c r="C505" s="91"/>
      <c r="D505" s="92"/>
      <c r="E505" s="91"/>
    </row>
    <row r="506" spans="1:5" x14ac:dyDescent="0.35">
      <c r="A506" s="90"/>
      <c r="B506" s="91"/>
      <c r="C506" s="91"/>
      <c r="D506" s="92"/>
      <c r="E506" s="91"/>
    </row>
    <row r="507" spans="1:5" x14ac:dyDescent="0.35">
      <c r="A507" s="90"/>
      <c r="B507" s="91"/>
      <c r="C507" s="91"/>
      <c r="D507" s="92"/>
      <c r="E507" s="91"/>
    </row>
    <row r="508" spans="1:5" x14ac:dyDescent="0.35">
      <c r="A508" s="90"/>
      <c r="B508" s="91"/>
      <c r="C508" s="91"/>
      <c r="D508" s="92"/>
      <c r="E508" s="91"/>
    </row>
    <row r="509" spans="1:5" x14ac:dyDescent="0.35">
      <c r="A509" s="90"/>
      <c r="B509" s="91"/>
      <c r="C509" s="91"/>
      <c r="D509" s="92"/>
      <c r="E509" s="91"/>
    </row>
    <row r="510" spans="1:5" x14ac:dyDescent="0.35">
      <c r="A510" s="90"/>
      <c r="B510" s="91"/>
      <c r="C510" s="91"/>
      <c r="D510" s="92"/>
      <c r="E510" s="91"/>
    </row>
    <row r="511" spans="1:5" x14ac:dyDescent="0.35">
      <c r="A511" s="90"/>
      <c r="B511" s="91"/>
      <c r="C511" s="91"/>
      <c r="D511" s="92"/>
      <c r="E511" s="91"/>
    </row>
    <row r="512" spans="1:5" x14ac:dyDescent="0.35">
      <c r="A512" s="90"/>
      <c r="B512" s="91"/>
      <c r="C512" s="91"/>
      <c r="D512" s="92"/>
      <c r="E512" s="91"/>
    </row>
    <row r="513" spans="1:5" x14ac:dyDescent="0.35">
      <c r="A513" s="90"/>
      <c r="B513" s="91"/>
      <c r="C513" s="91"/>
      <c r="D513" s="92"/>
      <c r="E513" s="91"/>
    </row>
    <row r="514" spans="1:5" x14ac:dyDescent="0.35">
      <c r="A514" s="90"/>
      <c r="B514" s="91"/>
      <c r="C514" s="91"/>
      <c r="D514" s="92"/>
      <c r="E514" s="91"/>
    </row>
    <row r="515" spans="1:5" x14ac:dyDescent="0.35">
      <c r="A515" s="90"/>
      <c r="B515" s="91"/>
      <c r="C515" s="91"/>
      <c r="D515" s="92"/>
      <c r="E515" s="91"/>
    </row>
    <row r="516" spans="1:5" x14ac:dyDescent="0.35">
      <c r="A516" s="90"/>
      <c r="B516" s="91"/>
      <c r="C516" s="91"/>
      <c r="D516" s="92"/>
      <c r="E516" s="91"/>
    </row>
    <row r="517" spans="1:5" x14ac:dyDescent="0.35">
      <c r="A517" s="90"/>
      <c r="B517" s="91"/>
      <c r="C517" s="91"/>
      <c r="D517" s="92"/>
      <c r="E517" s="91"/>
    </row>
    <row r="518" spans="1:5" x14ac:dyDescent="0.35">
      <c r="A518" s="90"/>
      <c r="B518" s="91"/>
      <c r="C518" s="91"/>
      <c r="D518" s="92"/>
      <c r="E518" s="91"/>
    </row>
    <row r="519" spans="1:5" x14ac:dyDescent="0.35">
      <c r="A519" s="90"/>
      <c r="B519" s="91"/>
      <c r="C519" s="91"/>
      <c r="D519" s="92"/>
      <c r="E519" s="91"/>
    </row>
    <row r="520" spans="1:5" x14ac:dyDescent="0.35">
      <c r="A520" s="90"/>
      <c r="B520" s="91"/>
      <c r="C520" s="91"/>
      <c r="D520" s="92"/>
      <c r="E520" s="91"/>
    </row>
    <row r="521" spans="1:5" x14ac:dyDescent="0.35">
      <c r="A521" s="90"/>
      <c r="B521" s="91"/>
      <c r="C521" s="91"/>
      <c r="D521" s="92"/>
      <c r="E521" s="91"/>
    </row>
    <row r="522" spans="1:5" x14ac:dyDescent="0.35">
      <c r="A522" s="90"/>
      <c r="B522" s="91"/>
      <c r="C522" s="91"/>
      <c r="D522" s="92"/>
      <c r="E522" s="91"/>
    </row>
    <row r="523" spans="1:5" x14ac:dyDescent="0.35">
      <c r="A523" s="90"/>
      <c r="B523" s="91"/>
      <c r="C523" s="91"/>
      <c r="D523" s="92"/>
      <c r="E523" s="91"/>
    </row>
    <row r="524" spans="1:5" x14ac:dyDescent="0.35">
      <c r="A524" s="90"/>
      <c r="B524" s="91"/>
      <c r="C524" s="91"/>
      <c r="D524" s="92"/>
      <c r="E524" s="91"/>
    </row>
    <row r="525" spans="1:5" x14ac:dyDescent="0.35">
      <c r="A525" s="90"/>
      <c r="B525" s="91"/>
      <c r="C525" s="91"/>
      <c r="D525" s="92"/>
      <c r="E525" s="91"/>
    </row>
    <row r="526" spans="1:5" x14ac:dyDescent="0.35">
      <c r="A526" s="90"/>
      <c r="B526" s="91"/>
      <c r="C526" s="91"/>
      <c r="D526" s="92"/>
      <c r="E526" s="91"/>
    </row>
    <row r="527" spans="1:5" x14ac:dyDescent="0.35">
      <c r="A527" s="90"/>
      <c r="B527" s="91"/>
      <c r="C527" s="91"/>
      <c r="D527" s="92"/>
      <c r="E527" s="91"/>
    </row>
    <row r="528" spans="1:5" x14ac:dyDescent="0.35">
      <c r="A528" s="90"/>
      <c r="B528" s="91"/>
      <c r="C528" s="91"/>
      <c r="D528" s="92"/>
      <c r="E528" s="91"/>
    </row>
    <row r="529" spans="1:5" x14ac:dyDescent="0.35">
      <c r="A529" s="90"/>
      <c r="B529" s="91"/>
      <c r="C529" s="91"/>
      <c r="D529" s="92"/>
      <c r="E529" s="91"/>
    </row>
    <row r="530" spans="1:5" x14ac:dyDescent="0.35">
      <c r="A530" s="90"/>
      <c r="B530" s="91"/>
      <c r="C530" s="91"/>
      <c r="D530" s="92"/>
      <c r="E530" s="91"/>
    </row>
    <row r="531" spans="1:5" x14ac:dyDescent="0.35">
      <c r="A531" s="90"/>
      <c r="B531" s="91"/>
      <c r="C531" s="91"/>
      <c r="D531" s="92"/>
      <c r="E531" s="91"/>
    </row>
    <row r="532" spans="1:5" x14ac:dyDescent="0.35">
      <c r="A532" s="90"/>
      <c r="B532" s="91"/>
      <c r="C532" s="91"/>
      <c r="D532" s="92"/>
      <c r="E532" s="91"/>
    </row>
    <row r="533" spans="1:5" x14ac:dyDescent="0.35">
      <c r="A533" s="90"/>
      <c r="B533" s="91"/>
      <c r="C533" s="91"/>
      <c r="D533" s="92"/>
      <c r="E533" s="91"/>
    </row>
    <row r="534" spans="1:5" x14ac:dyDescent="0.35">
      <c r="A534" s="90"/>
      <c r="B534" s="91"/>
      <c r="C534" s="91"/>
      <c r="D534" s="92"/>
      <c r="E534" s="91"/>
    </row>
    <row r="535" spans="1:5" x14ac:dyDescent="0.35">
      <c r="A535" s="90"/>
      <c r="B535" s="91"/>
      <c r="C535" s="91"/>
      <c r="D535" s="92"/>
      <c r="E535" s="91"/>
    </row>
    <row r="536" spans="1:5" x14ac:dyDescent="0.35">
      <c r="A536" s="90"/>
      <c r="B536" s="91"/>
      <c r="C536" s="91"/>
      <c r="D536" s="92"/>
      <c r="E536" s="91"/>
    </row>
    <row r="537" spans="1:5" x14ac:dyDescent="0.35">
      <c r="A537" s="90"/>
      <c r="B537" s="91"/>
      <c r="C537" s="91"/>
      <c r="D537" s="92"/>
      <c r="E537" s="91"/>
    </row>
    <row r="538" spans="1:5" x14ac:dyDescent="0.35">
      <c r="A538" s="90"/>
      <c r="B538" s="91"/>
      <c r="C538" s="91"/>
      <c r="D538" s="92"/>
      <c r="E538" s="91"/>
    </row>
    <row r="539" spans="1:5" x14ac:dyDescent="0.35">
      <c r="A539" s="90"/>
      <c r="B539" s="91"/>
      <c r="C539" s="91"/>
      <c r="D539" s="92"/>
      <c r="E539" s="91"/>
    </row>
    <row r="540" spans="1:5" x14ac:dyDescent="0.35">
      <c r="A540" s="90"/>
      <c r="B540" s="91"/>
      <c r="C540" s="91"/>
      <c r="D540" s="92"/>
      <c r="E540" s="91"/>
    </row>
    <row r="541" spans="1:5" x14ac:dyDescent="0.35">
      <c r="A541" s="90"/>
      <c r="B541" s="91"/>
      <c r="C541" s="91"/>
      <c r="D541" s="92"/>
      <c r="E541" s="91"/>
    </row>
    <row r="542" spans="1:5" x14ac:dyDescent="0.35">
      <c r="A542" s="90"/>
      <c r="B542" s="91"/>
      <c r="C542" s="91"/>
      <c r="D542" s="92"/>
      <c r="E542" s="91"/>
    </row>
    <row r="543" spans="1:5" x14ac:dyDescent="0.35">
      <c r="A543" s="90"/>
      <c r="B543" s="91"/>
      <c r="C543" s="91"/>
      <c r="D543" s="92"/>
      <c r="E543" s="91"/>
    </row>
    <row r="544" spans="1:5" x14ac:dyDescent="0.35">
      <c r="A544" s="90"/>
      <c r="B544" s="91"/>
      <c r="C544" s="91"/>
      <c r="D544" s="92"/>
      <c r="E544" s="91"/>
    </row>
    <row r="545" spans="1:5" x14ac:dyDescent="0.35">
      <c r="A545" s="90"/>
      <c r="B545" s="91"/>
      <c r="C545" s="91"/>
      <c r="D545" s="92"/>
      <c r="E545" s="91"/>
    </row>
    <row r="546" spans="1:5" x14ac:dyDescent="0.35">
      <c r="A546" s="90"/>
      <c r="B546" s="91"/>
      <c r="C546" s="91"/>
      <c r="D546" s="92"/>
      <c r="E546" s="91"/>
    </row>
    <row r="547" spans="1:5" x14ac:dyDescent="0.35">
      <c r="A547" s="90"/>
      <c r="B547" s="91"/>
      <c r="C547" s="91"/>
      <c r="D547" s="92"/>
      <c r="E547" s="91"/>
    </row>
    <row r="548" spans="1:5" x14ac:dyDescent="0.35">
      <c r="A548" s="90"/>
      <c r="B548" s="91"/>
      <c r="C548" s="91"/>
      <c r="D548" s="92"/>
      <c r="E548" s="91"/>
    </row>
    <row r="549" spans="1:5" x14ac:dyDescent="0.35">
      <c r="A549" s="90"/>
      <c r="B549" s="91"/>
      <c r="C549" s="91"/>
      <c r="D549" s="92"/>
      <c r="E549" s="91"/>
    </row>
    <row r="550" spans="1:5" x14ac:dyDescent="0.35">
      <c r="A550" s="90"/>
      <c r="B550" s="91"/>
      <c r="C550" s="91"/>
      <c r="D550" s="92"/>
      <c r="E550" s="91"/>
    </row>
    <row r="551" spans="1:5" x14ac:dyDescent="0.35">
      <c r="A551" s="90"/>
      <c r="B551" s="91"/>
      <c r="C551" s="91"/>
      <c r="D551" s="92"/>
      <c r="E551" s="91"/>
    </row>
    <row r="552" spans="1:5" x14ac:dyDescent="0.35">
      <c r="A552" s="90"/>
      <c r="B552" s="91"/>
      <c r="C552" s="91"/>
      <c r="D552" s="92"/>
      <c r="E552" s="91"/>
    </row>
    <row r="553" spans="1:5" x14ac:dyDescent="0.35">
      <c r="A553" s="90"/>
      <c r="B553" s="91"/>
      <c r="C553" s="91"/>
      <c r="D553" s="92"/>
      <c r="E553" s="91"/>
    </row>
    <row r="554" spans="1:5" x14ac:dyDescent="0.35">
      <c r="A554" s="90"/>
      <c r="B554" s="91"/>
      <c r="C554" s="91"/>
      <c r="D554" s="92"/>
      <c r="E554" s="91"/>
    </row>
    <row r="555" spans="1:5" x14ac:dyDescent="0.35">
      <c r="A555" s="90"/>
      <c r="B555" s="91"/>
      <c r="C555" s="91"/>
      <c r="D555" s="92"/>
      <c r="E555" s="91"/>
    </row>
    <row r="556" spans="1:5" x14ac:dyDescent="0.35">
      <c r="A556" s="90"/>
      <c r="B556" s="91"/>
      <c r="C556" s="91"/>
      <c r="D556" s="92"/>
      <c r="E556" s="91"/>
    </row>
    <row r="557" spans="1:5" x14ac:dyDescent="0.35">
      <c r="A557" s="90"/>
      <c r="B557" s="91"/>
      <c r="C557" s="91"/>
      <c r="D557" s="92"/>
      <c r="E557" s="91"/>
    </row>
    <row r="558" spans="1:5" x14ac:dyDescent="0.35">
      <c r="A558" s="90"/>
      <c r="B558" s="91"/>
      <c r="C558" s="91"/>
      <c r="D558" s="92"/>
      <c r="E558" s="91"/>
    </row>
    <row r="559" spans="1:5" x14ac:dyDescent="0.35">
      <c r="A559" s="90"/>
      <c r="B559" s="91"/>
      <c r="C559" s="91"/>
      <c r="D559" s="92"/>
      <c r="E559" s="91"/>
    </row>
    <row r="560" spans="1:5" x14ac:dyDescent="0.35">
      <c r="A560" s="90"/>
      <c r="B560" s="91"/>
      <c r="C560" s="91"/>
      <c r="D560" s="92"/>
      <c r="E560" s="91"/>
    </row>
    <row r="561" spans="1:5" x14ac:dyDescent="0.35">
      <c r="A561" s="90"/>
      <c r="B561" s="91"/>
      <c r="C561" s="91"/>
      <c r="D561" s="92"/>
      <c r="E561" s="91"/>
    </row>
    <row r="562" spans="1:5" x14ac:dyDescent="0.35">
      <c r="A562" s="90"/>
      <c r="B562" s="91"/>
      <c r="C562" s="91"/>
      <c r="D562" s="92"/>
      <c r="E562" s="91"/>
    </row>
    <row r="563" spans="1:5" x14ac:dyDescent="0.35">
      <c r="A563" s="90"/>
      <c r="B563" s="91"/>
      <c r="C563" s="91"/>
      <c r="D563" s="92"/>
      <c r="E563" s="91"/>
    </row>
    <row r="564" spans="1:5" x14ac:dyDescent="0.35">
      <c r="A564" s="90"/>
      <c r="B564" s="91"/>
      <c r="C564" s="91"/>
      <c r="D564" s="92"/>
      <c r="E564" s="91"/>
    </row>
    <row r="565" spans="1:5" x14ac:dyDescent="0.35">
      <c r="A565" s="90"/>
      <c r="B565" s="91"/>
      <c r="C565" s="91"/>
      <c r="D565" s="92"/>
      <c r="E565" s="91"/>
    </row>
    <row r="566" spans="1:5" x14ac:dyDescent="0.35">
      <c r="A566" s="90"/>
      <c r="B566" s="91"/>
      <c r="C566" s="91"/>
      <c r="D566" s="92"/>
      <c r="E566" s="91"/>
    </row>
    <row r="567" spans="1:5" x14ac:dyDescent="0.35">
      <c r="A567" s="90"/>
      <c r="B567" s="91"/>
      <c r="C567" s="91"/>
      <c r="D567" s="92"/>
      <c r="E567" s="91"/>
    </row>
    <row r="568" spans="1:5" x14ac:dyDescent="0.35">
      <c r="A568" s="90"/>
      <c r="B568" s="91"/>
      <c r="C568" s="91"/>
      <c r="D568" s="92"/>
      <c r="E568" s="91"/>
    </row>
    <row r="569" spans="1:5" x14ac:dyDescent="0.35">
      <c r="A569" s="90"/>
      <c r="B569" s="91"/>
      <c r="C569" s="91"/>
      <c r="D569" s="92"/>
      <c r="E569" s="91"/>
    </row>
    <row r="570" spans="1:5" x14ac:dyDescent="0.35">
      <c r="A570" s="90"/>
      <c r="B570" s="91"/>
      <c r="C570" s="91"/>
      <c r="D570" s="92"/>
      <c r="E570" s="91"/>
    </row>
    <row r="571" spans="1:5" x14ac:dyDescent="0.35">
      <c r="A571" s="90"/>
      <c r="B571" s="91"/>
      <c r="C571" s="91"/>
      <c r="D571" s="92"/>
      <c r="E571" s="91"/>
    </row>
    <row r="572" spans="1:5" x14ac:dyDescent="0.35">
      <c r="A572" s="90"/>
      <c r="B572" s="91"/>
      <c r="C572" s="91"/>
      <c r="D572" s="92"/>
      <c r="E572" s="91"/>
    </row>
    <row r="573" spans="1:5" x14ac:dyDescent="0.35">
      <c r="A573" s="90"/>
      <c r="B573" s="91"/>
      <c r="C573" s="91"/>
      <c r="D573" s="92"/>
      <c r="E573" s="91"/>
    </row>
    <row r="574" spans="1:5" x14ac:dyDescent="0.35">
      <c r="A574" s="90"/>
      <c r="B574" s="91"/>
      <c r="C574" s="91"/>
      <c r="D574" s="92"/>
      <c r="E574" s="91"/>
    </row>
    <row r="575" spans="1:5" x14ac:dyDescent="0.35">
      <c r="A575" s="90"/>
      <c r="B575" s="91"/>
      <c r="C575" s="91"/>
      <c r="D575" s="92"/>
      <c r="E575" s="91"/>
    </row>
    <row r="576" spans="1:5" x14ac:dyDescent="0.35">
      <c r="A576" s="90"/>
      <c r="B576" s="91"/>
      <c r="C576" s="91"/>
      <c r="D576" s="92"/>
      <c r="E576" s="91"/>
    </row>
    <row r="577" spans="1:5" x14ac:dyDescent="0.35">
      <c r="A577" s="90"/>
      <c r="B577" s="91"/>
      <c r="C577" s="91"/>
      <c r="D577" s="92"/>
      <c r="E577" s="91"/>
    </row>
    <row r="578" spans="1:5" x14ac:dyDescent="0.35">
      <c r="A578" s="90"/>
      <c r="B578" s="91"/>
      <c r="C578" s="91"/>
      <c r="D578" s="92"/>
      <c r="E578" s="91"/>
    </row>
    <row r="579" spans="1:5" x14ac:dyDescent="0.35">
      <c r="A579" s="90"/>
      <c r="B579" s="91"/>
      <c r="C579" s="91"/>
      <c r="D579" s="92"/>
      <c r="E579" s="91"/>
    </row>
    <row r="580" spans="1:5" x14ac:dyDescent="0.35">
      <c r="A580" s="90"/>
      <c r="B580" s="91"/>
      <c r="C580" s="91"/>
      <c r="D580" s="92"/>
      <c r="E580" s="91"/>
    </row>
    <row r="581" spans="1:5" x14ac:dyDescent="0.35">
      <c r="A581" s="90"/>
      <c r="B581" s="91"/>
      <c r="C581" s="91"/>
      <c r="D581" s="92"/>
      <c r="E581" s="91"/>
    </row>
    <row r="582" spans="1:5" x14ac:dyDescent="0.35">
      <c r="A582" s="90"/>
      <c r="B582" s="91"/>
      <c r="C582" s="91"/>
      <c r="D582" s="92"/>
      <c r="E582" s="91"/>
    </row>
    <row r="583" spans="1:5" x14ac:dyDescent="0.35">
      <c r="A583" s="90"/>
      <c r="B583" s="91"/>
      <c r="C583" s="91"/>
      <c r="D583" s="92"/>
      <c r="E583" s="91"/>
    </row>
    <row r="584" spans="1:5" x14ac:dyDescent="0.35">
      <c r="A584" s="90"/>
      <c r="B584" s="91"/>
      <c r="C584" s="91"/>
      <c r="D584" s="92"/>
      <c r="E584" s="91"/>
    </row>
    <row r="585" spans="1:5" x14ac:dyDescent="0.35">
      <c r="A585" s="90"/>
      <c r="B585" s="91"/>
      <c r="C585" s="91"/>
      <c r="D585" s="92"/>
      <c r="E585" s="91"/>
    </row>
    <row r="586" spans="1:5" x14ac:dyDescent="0.35">
      <c r="A586" s="90"/>
      <c r="B586" s="91"/>
      <c r="C586" s="91"/>
      <c r="D586" s="92"/>
      <c r="E586" s="91"/>
    </row>
    <row r="587" spans="1:5" x14ac:dyDescent="0.35">
      <c r="A587" s="90"/>
      <c r="B587" s="91"/>
      <c r="C587" s="91"/>
      <c r="D587" s="92"/>
      <c r="E587" s="91"/>
    </row>
    <row r="588" spans="1:5" x14ac:dyDescent="0.35">
      <c r="A588" s="90"/>
      <c r="B588" s="91"/>
      <c r="C588" s="91"/>
      <c r="D588" s="92"/>
      <c r="E588" s="91"/>
    </row>
    <row r="589" spans="1:5" x14ac:dyDescent="0.35">
      <c r="A589" s="90"/>
      <c r="B589" s="91"/>
      <c r="C589" s="91"/>
      <c r="D589" s="92"/>
      <c r="E589" s="91"/>
    </row>
    <row r="590" spans="1:5" x14ac:dyDescent="0.35">
      <c r="A590" s="90"/>
      <c r="B590" s="91"/>
      <c r="C590" s="91"/>
      <c r="D590" s="92"/>
      <c r="E590" s="91"/>
    </row>
    <row r="591" spans="1:5" x14ac:dyDescent="0.35">
      <c r="A591" s="90"/>
      <c r="B591" s="91"/>
      <c r="C591" s="91"/>
      <c r="D591" s="92"/>
      <c r="E591" s="91"/>
    </row>
    <row r="592" spans="1:5" x14ac:dyDescent="0.35">
      <c r="A592" s="90"/>
      <c r="B592" s="91"/>
      <c r="C592" s="91"/>
      <c r="D592" s="92"/>
      <c r="E592" s="91"/>
    </row>
    <row r="593" spans="1:5" x14ac:dyDescent="0.35">
      <c r="A593" s="90"/>
      <c r="B593" s="91"/>
      <c r="C593" s="91"/>
      <c r="D593" s="92"/>
      <c r="E593" s="91"/>
    </row>
    <row r="594" spans="1:5" x14ac:dyDescent="0.35">
      <c r="A594" s="90"/>
      <c r="B594" s="91"/>
      <c r="C594" s="91"/>
      <c r="D594" s="92"/>
      <c r="E594" s="91"/>
    </row>
    <row r="595" spans="1:5" x14ac:dyDescent="0.35">
      <c r="A595" s="90"/>
      <c r="B595" s="91"/>
      <c r="C595" s="91"/>
      <c r="D595" s="92"/>
      <c r="E595" s="91"/>
    </row>
    <row r="596" spans="1:5" x14ac:dyDescent="0.35">
      <c r="A596" s="90"/>
      <c r="B596" s="91"/>
      <c r="C596" s="91"/>
      <c r="D596" s="92"/>
      <c r="E596" s="91"/>
    </row>
    <row r="597" spans="1:5" x14ac:dyDescent="0.35">
      <c r="A597" s="90"/>
      <c r="B597" s="91"/>
      <c r="C597" s="91"/>
      <c r="D597" s="92"/>
      <c r="E597" s="91"/>
    </row>
    <row r="598" spans="1:5" x14ac:dyDescent="0.35">
      <c r="A598" s="90"/>
      <c r="B598" s="91"/>
      <c r="C598" s="91"/>
      <c r="D598" s="92"/>
      <c r="E598" s="91"/>
    </row>
    <row r="599" spans="1:5" x14ac:dyDescent="0.35">
      <c r="A599" s="90"/>
      <c r="B599" s="91"/>
      <c r="C599" s="91"/>
      <c r="D599" s="92"/>
      <c r="E599" s="91"/>
    </row>
    <row r="600" spans="1:5" x14ac:dyDescent="0.35">
      <c r="A600" s="90"/>
      <c r="B600" s="91"/>
      <c r="C600" s="91"/>
      <c r="D600" s="92"/>
      <c r="E600" s="91"/>
    </row>
    <row r="601" spans="1:5" x14ac:dyDescent="0.35">
      <c r="A601" s="90"/>
      <c r="B601" s="91"/>
      <c r="C601" s="91"/>
      <c r="D601" s="92"/>
      <c r="E601" s="91"/>
    </row>
    <row r="602" spans="1:5" x14ac:dyDescent="0.35">
      <c r="A602" s="90"/>
      <c r="B602" s="91"/>
      <c r="C602" s="91"/>
      <c r="D602" s="92"/>
      <c r="E602" s="91"/>
    </row>
    <row r="603" spans="1:5" x14ac:dyDescent="0.35">
      <c r="A603" s="90"/>
      <c r="B603" s="91"/>
      <c r="C603" s="91"/>
      <c r="D603" s="92"/>
      <c r="E603" s="91"/>
    </row>
    <row r="604" spans="1:5" x14ac:dyDescent="0.35">
      <c r="A604" s="90"/>
      <c r="B604" s="91"/>
      <c r="C604" s="91"/>
      <c r="D604" s="92"/>
      <c r="E604" s="91"/>
    </row>
    <row r="605" spans="1:5" x14ac:dyDescent="0.35">
      <c r="A605" s="90"/>
      <c r="B605" s="91"/>
      <c r="C605" s="91"/>
      <c r="D605" s="92"/>
      <c r="E605" s="91"/>
    </row>
    <row r="606" spans="1:5" x14ac:dyDescent="0.35">
      <c r="A606" s="90"/>
      <c r="B606" s="91"/>
      <c r="C606" s="91"/>
      <c r="D606" s="92"/>
      <c r="E606" s="91"/>
    </row>
    <row r="607" spans="1:5" x14ac:dyDescent="0.35">
      <c r="A607" s="90"/>
      <c r="B607" s="91"/>
      <c r="C607" s="91"/>
      <c r="D607" s="92"/>
      <c r="E607" s="91"/>
    </row>
    <row r="608" spans="1:5" x14ac:dyDescent="0.35">
      <c r="A608" s="90"/>
      <c r="B608" s="91"/>
      <c r="C608" s="91"/>
      <c r="D608" s="92"/>
      <c r="E608" s="91"/>
    </row>
    <row r="609" spans="1:5" x14ac:dyDescent="0.35">
      <c r="A609" s="90"/>
      <c r="B609" s="91"/>
      <c r="C609" s="91"/>
      <c r="D609" s="92"/>
      <c r="E609" s="91"/>
    </row>
    <row r="610" spans="1:5" x14ac:dyDescent="0.35">
      <c r="A610" s="90"/>
      <c r="B610" s="91"/>
      <c r="C610" s="91"/>
      <c r="D610" s="92"/>
      <c r="E610" s="91"/>
    </row>
    <row r="611" spans="1:5" x14ac:dyDescent="0.35">
      <c r="A611" s="90"/>
      <c r="B611" s="91"/>
      <c r="C611" s="91"/>
      <c r="D611" s="92"/>
      <c r="E611" s="91"/>
    </row>
    <row r="612" spans="1:5" x14ac:dyDescent="0.35">
      <c r="A612" s="90"/>
      <c r="B612" s="91"/>
      <c r="C612" s="91"/>
      <c r="D612" s="92"/>
      <c r="E612" s="91"/>
    </row>
    <row r="613" spans="1:5" x14ac:dyDescent="0.35">
      <c r="A613" s="90"/>
      <c r="B613" s="91"/>
      <c r="C613" s="91"/>
      <c r="D613" s="92"/>
      <c r="E613" s="91"/>
    </row>
    <row r="614" spans="1:5" x14ac:dyDescent="0.35">
      <c r="A614" s="90"/>
      <c r="B614" s="91"/>
      <c r="C614" s="91"/>
      <c r="D614" s="92"/>
      <c r="E614" s="91"/>
    </row>
    <row r="615" spans="1:5" x14ac:dyDescent="0.35">
      <c r="A615" s="90"/>
      <c r="B615" s="91"/>
      <c r="C615" s="91"/>
      <c r="D615" s="92"/>
      <c r="E615" s="91"/>
    </row>
    <row r="616" spans="1:5" x14ac:dyDescent="0.35">
      <c r="A616" s="90"/>
      <c r="B616" s="91"/>
      <c r="C616" s="91"/>
      <c r="D616" s="92"/>
      <c r="E616" s="91"/>
    </row>
    <row r="617" spans="1:5" x14ac:dyDescent="0.35">
      <c r="A617" s="90"/>
      <c r="B617" s="91"/>
      <c r="C617" s="91"/>
      <c r="D617" s="92"/>
      <c r="E617" s="91"/>
    </row>
    <row r="618" spans="1:5" x14ac:dyDescent="0.35">
      <c r="A618" s="90"/>
      <c r="B618" s="91"/>
      <c r="C618" s="91"/>
      <c r="D618" s="92"/>
      <c r="E618" s="91"/>
    </row>
    <row r="619" spans="1:5" x14ac:dyDescent="0.35">
      <c r="A619" s="90"/>
      <c r="B619" s="91"/>
      <c r="C619" s="91"/>
      <c r="D619" s="92"/>
      <c r="E619" s="91"/>
    </row>
    <row r="620" spans="1:5" x14ac:dyDescent="0.35">
      <c r="A620" s="90"/>
      <c r="B620" s="91"/>
      <c r="C620" s="91"/>
      <c r="D620" s="92"/>
      <c r="E620" s="91"/>
    </row>
    <row r="621" spans="1:5" x14ac:dyDescent="0.35">
      <c r="A621" s="90"/>
      <c r="B621" s="91"/>
      <c r="C621" s="91"/>
      <c r="D621" s="92"/>
      <c r="E621" s="91"/>
    </row>
    <row r="622" spans="1:5" x14ac:dyDescent="0.35">
      <c r="A622" s="90"/>
      <c r="B622" s="91"/>
      <c r="C622" s="91"/>
      <c r="D622" s="92"/>
      <c r="E622" s="91"/>
    </row>
    <row r="623" spans="1:5" x14ac:dyDescent="0.35">
      <c r="A623" s="90"/>
      <c r="B623" s="91"/>
      <c r="C623" s="91"/>
      <c r="D623" s="92"/>
      <c r="E623" s="91"/>
    </row>
    <row r="624" spans="1:5" x14ac:dyDescent="0.35">
      <c r="A624" s="90"/>
      <c r="B624" s="91"/>
      <c r="C624" s="91"/>
      <c r="D624" s="92"/>
      <c r="E624" s="91"/>
    </row>
    <row r="625" spans="1:5" x14ac:dyDescent="0.35">
      <c r="A625" s="90"/>
      <c r="B625" s="91"/>
      <c r="C625" s="91"/>
      <c r="D625" s="92"/>
      <c r="E625" s="91"/>
    </row>
    <row r="626" spans="1:5" x14ac:dyDescent="0.35">
      <c r="A626" s="90"/>
      <c r="B626" s="91"/>
      <c r="C626" s="91"/>
      <c r="D626" s="92"/>
      <c r="E626" s="91"/>
    </row>
    <row r="627" spans="1:5" x14ac:dyDescent="0.35">
      <c r="A627" s="90"/>
      <c r="B627" s="91"/>
      <c r="C627" s="91"/>
      <c r="D627" s="92"/>
      <c r="E627" s="91"/>
    </row>
    <row r="628" spans="1:5" x14ac:dyDescent="0.35">
      <c r="A628" s="90"/>
      <c r="B628" s="91"/>
      <c r="C628" s="91"/>
      <c r="D628" s="92"/>
      <c r="E628" s="91"/>
    </row>
    <row r="629" spans="1:5" x14ac:dyDescent="0.35">
      <c r="A629" s="90"/>
      <c r="B629" s="91"/>
      <c r="C629" s="91"/>
      <c r="D629" s="92"/>
      <c r="E629" s="91"/>
    </row>
    <row r="630" spans="1:5" x14ac:dyDescent="0.35">
      <c r="A630" s="90"/>
      <c r="B630" s="91"/>
      <c r="C630" s="91"/>
      <c r="D630" s="92"/>
      <c r="E630" s="91"/>
    </row>
    <row r="631" spans="1:5" x14ac:dyDescent="0.35">
      <c r="A631" s="90"/>
      <c r="B631" s="91"/>
      <c r="C631" s="91"/>
      <c r="D631" s="92"/>
      <c r="E631" s="91"/>
    </row>
    <row r="632" spans="1:5" x14ac:dyDescent="0.35">
      <c r="A632" s="90"/>
      <c r="B632" s="91"/>
      <c r="C632" s="91"/>
      <c r="D632" s="92"/>
      <c r="E632" s="91"/>
    </row>
    <row r="633" spans="1:5" x14ac:dyDescent="0.35">
      <c r="A633" s="90"/>
      <c r="B633" s="91"/>
      <c r="C633" s="91"/>
      <c r="D633" s="92"/>
      <c r="E633" s="91"/>
    </row>
    <row r="634" spans="1:5" x14ac:dyDescent="0.35">
      <c r="A634" s="90"/>
      <c r="B634" s="91"/>
      <c r="C634" s="91"/>
      <c r="D634" s="92"/>
      <c r="E634" s="91"/>
    </row>
    <row r="635" spans="1:5" x14ac:dyDescent="0.35">
      <c r="A635" s="90"/>
      <c r="B635" s="91"/>
      <c r="C635" s="91"/>
      <c r="D635" s="92"/>
      <c r="E635" s="91"/>
    </row>
    <row r="636" spans="1:5" x14ac:dyDescent="0.35">
      <c r="A636" s="90"/>
      <c r="B636" s="91"/>
      <c r="C636" s="91"/>
      <c r="D636" s="92"/>
      <c r="E636" s="91"/>
    </row>
    <row r="637" spans="1:5" x14ac:dyDescent="0.35">
      <c r="A637" s="90"/>
      <c r="B637" s="91"/>
      <c r="C637" s="91"/>
      <c r="D637" s="92"/>
      <c r="E637" s="91"/>
    </row>
    <row r="638" spans="1:5" x14ac:dyDescent="0.35">
      <c r="A638" s="90"/>
      <c r="B638" s="91"/>
      <c r="C638" s="91"/>
      <c r="D638" s="92"/>
      <c r="E638" s="91"/>
    </row>
    <row r="639" spans="1:5" x14ac:dyDescent="0.35">
      <c r="A639" s="90"/>
      <c r="B639" s="91"/>
      <c r="C639" s="91"/>
      <c r="D639" s="92"/>
      <c r="E639" s="91"/>
    </row>
    <row r="640" spans="1:5" x14ac:dyDescent="0.35">
      <c r="A640" s="90"/>
      <c r="B640" s="91"/>
      <c r="C640" s="91"/>
      <c r="D640" s="92"/>
      <c r="E640" s="91"/>
    </row>
    <row r="641" spans="1:5" x14ac:dyDescent="0.35">
      <c r="A641" s="90"/>
      <c r="B641" s="91"/>
      <c r="C641" s="91"/>
      <c r="D641" s="92"/>
      <c r="E641" s="91"/>
    </row>
    <row r="642" spans="1:5" x14ac:dyDescent="0.35">
      <c r="A642" s="90"/>
      <c r="B642" s="91"/>
      <c r="C642" s="91"/>
      <c r="D642" s="92"/>
      <c r="E642" s="91"/>
    </row>
    <row r="643" spans="1:5" x14ac:dyDescent="0.35">
      <c r="A643" s="90"/>
      <c r="B643" s="91"/>
      <c r="C643" s="91"/>
      <c r="D643" s="92"/>
      <c r="E643" s="91"/>
    </row>
    <row r="644" spans="1:5" x14ac:dyDescent="0.35">
      <c r="A644" s="90"/>
      <c r="B644" s="91"/>
      <c r="C644" s="91"/>
      <c r="D644" s="92"/>
      <c r="E644" s="91"/>
    </row>
    <row r="645" spans="1:5" x14ac:dyDescent="0.35">
      <c r="A645" s="90"/>
      <c r="B645" s="91"/>
      <c r="C645" s="91"/>
      <c r="D645" s="92"/>
      <c r="E645" s="91"/>
    </row>
    <row r="646" spans="1:5" x14ac:dyDescent="0.35">
      <c r="A646" s="90"/>
      <c r="B646" s="91"/>
      <c r="C646" s="91"/>
      <c r="D646" s="92"/>
      <c r="E646" s="91"/>
    </row>
    <row r="647" spans="1:5" x14ac:dyDescent="0.35">
      <c r="A647" s="90"/>
      <c r="B647" s="91"/>
      <c r="C647" s="91"/>
      <c r="D647" s="92"/>
      <c r="E647" s="91"/>
    </row>
    <row r="648" spans="1:5" x14ac:dyDescent="0.35">
      <c r="A648" s="90"/>
      <c r="B648" s="91"/>
      <c r="C648" s="91"/>
      <c r="D648" s="92"/>
      <c r="E648" s="91"/>
    </row>
    <row r="649" spans="1:5" x14ac:dyDescent="0.35">
      <c r="A649" s="90"/>
      <c r="B649" s="91"/>
      <c r="C649" s="91"/>
      <c r="D649" s="92"/>
      <c r="E649" s="91"/>
    </row>
    <row r="650" spans="1:5" x14ac:dyDescent="0.35">
      <c r="A650" s="90"/>
      <c r="B650" s="91"/>
      <c r="C650" s="91"/>
      <c r="D650" s="92"/>
      <c r="E650" s="91"/>
    </row>
    <row r="651" spans="1:5" x14ac:dyDescent="0.35">
      <c r="A651" s="90"/>
      <c r="B651" s="91"/>
      <c r="C651" s="91"/>
      <c r="D651" s="92"/>
      <c r="E651" s="91"/>
    </row>
    <row r="652" spans="1:5" x14ac:dyDescent="0.35">
      <c r="A652" s="90"/>
      <c r="B652" s="91"/>
      <c r="C652" s="91"/>
      <c r="D652" s="92"/>
      <c r="E652" s="91"/>
    </row>
    <row r="653" spans="1:5" x14ac:dyDescent="0.35">
      <c r="A653" s="90"/>
      <c r="B653" s="91"/>
      <c r="C653" s="91"/>
      <c r="D653" s="92"/>
      <c r="E653" s="91"/>
    </row>
    <row r="654" spans="1:5" x14ac:dyDescent="0.35">
      <c r="A654" s="90"/>
      <c r="B654" s="91"/>
      <c r="C654" s="91"/>
      <c r="D654" s="92"/>
      <c r="E654" s="91"/>
    </row>
    <row r="655" spans="1:5" x14ac:dyDescent="0.35">
      <c r="A655" s="90"/>
      <c r="B655" s="91"/>
      <c r="C655" s="91"/>
      <c r="D655" s="92"/>
      <c r="E655" s="91"/>
    </row>
    <row r="656" spans="1:5" x14ac:dyDescent="0.35">
      <c r="A656" s="90"/>
      <c r="B656" s="91"/>
      <c r="C656" s="91"/>
      <c r="D656" s="92"/>
      <c r="E656" s="91"/>
    </row>
    <row r="657" spans="1:5" x14ac:dyDescent="0.35">
      <c r="A657" s="90"/>
      <c r="B657" s="91"/>
      <c r="C657" s="91"/>
      <c r="D657" s="92"/>
      <c r="E657" s="91"/>
    </row>
    <row r="658" spans="1:5" x14ac:dyDescent="0.35">
      <c r="A658" s="90"/>
      <c r="B658" s="91"/>
      <c r="C658" s="91"/>
      <c r="D658" s="92"/>
      <c r="E658" s="91"/>
    </row>
    <row r="659" spans="1:5" x14ac:dyDescent="0.35">
      <c r="A659" s="90"/>
      <c r="B659" s="91"/>
      <c r="C659" s="91"/>
      <c r="D659" s="92"/>
      <c r="E659" s="91"/>
    </row>
    <row r="660" spans="1:5" x14ac:dyDescent="0.35">
      <c r="A660" s="90"/>
      <c r="B660" s="91"/>
      <c r="C660" s="91"/>
      <c r="D660" s="92"/>
      <c r="E660" s="91"/>
    </row>
    <row r="661" spans="1:5" x14ac:dyDescent="0.35">
      <c r="A661" s="90"/>
      <c r="B661" s="91"/>
      <c r="C661" s="91"/>
      <c r="D661" s="92"/>
      <c r="E661" s="91"/>
    </row>
    <row r="662" spans="1:5" x14ac:dyDescent="0.35">
      <c r="A662" s="90"/>
      <c r="B662" s="91"/>
      <c r="C662" s="91"/>
      <c r="D662" s="92"/>
      <c r="E662" s="91"/>
    </row>
    <row r="663" spans="1:5" x14ac:dyDescent="0.35">
      <c r="A663" s="90"/>
      <c r="B663" s="91"/>
      <c r="C663" s="91"/>
      <c r="D663" s="92"/>
      <c r="E663" s="91"/>
    </row>
    <row r="664" spans="1:5" x14ac:dyDescent="0.35">
      <c r="A664" s="90"/>
      <c r="B664" s="91"/>
      <c r="C664" s="91"/>
      <c r="D664" s="92"/>
      <c r="E664" s="91"/>
    </row>
    <row r="665" spans="1:5" x14ac:dyDescent="0.35">
      <c r="A665" s="90"/>
      <c r="B665" s="91"/>
      <c r="C665" s="91"/>
      <c r="D665" s="92"/>
      <c r="E665" s="91"/>
    </row>
    <row r="666" spans="1:5" x14ac:dyDescent="0.35">
      <c r="A666" s="90"/>
      <c r="B666" s="91"/>
      <c r="C666" s="91"/>
      <c r="D666" s="92"/>
      <c r="E666" s="91"/>
    </row>
    <row r="667" spans="1:5" x14ac:dyDescent="0.35">
      <c r="A667" s="90"/>
      <c r="B667" s="91"/>
      <c r="C667" s="91"/>
      <c r="D667" s="92"/>
      <c r="E667" s="91"/>
    </row>
    <row r="668" spans="1:5" x14ac:dyDescent="0.35">
      <c r="A668" s="90"/>
      <c r="B668" s="91"/>
      <c r="C668" s="91"/>
      <c r="D668" s="92"/>
      <c r="E668" s="91"/>
    </row>
    <row r="669" spans="1:5" x14ac:dyDescent="0.35">
      <c r="A669" s="90"/>
      <c r="B669" s="91"/>
      <c r="C669" s="91"/>
      <c r="D669" s="92"/>
      <c r="E669" s="91"/>
    </row>
    <row r="670" spans="1:5" x14ac:dyDescent="0.35">
      <c r="A670" s="90"/>
      <c r="B670" s="91"/>
      <c r="C670" s="91"/>
      <c r="D670" s="92"/>
      <c r="E670" s="91"/>
    </row>
    <row r="671" spans="1:5" x14ac:dyDescent="0.35">
      <c r="A671" s="90"/>
      <c r="B671" s="91"/>
      <c r="C671" s="91"/>
      <c r="D671" s="92"/>
      <c r="E671" s="91"/>
    </row>
    <row r="672" spans="1:5" x14ac:dyDescent="0.35">
      <c r="A672" s="90"/>
      <c r="B672" s="91"/>
      <c r="C672" s="91"/>
      <c r="D672" s="92"/>
      <c r="E672" s="91"/>
    </row>
    <row r="673" spans="1:5" x14ac:dyDescent="0.35">
      <c r="A673" s="90"/>
      <c r="B673" s="91"/>
      <c r="C673" s="91"/>
      <c r="D673" s="92"/>
      <c r="E673" s="91"/>
    </row>
    <row r="674" spans="1:5" x14ac:dyDescent="0.35">
      <c r="A674" s="90"/>
      <c r="B674" s="91"/>
      <c r="C674" s="91"/>
      <c r="D674" s="92"/>
      <c r="E674" s="91"/>
    </row>
    <row r="675" spans="1:5" x14ac:dyDescent="0.35">
      <c r="A675" s="90"/>
      <c r="B675" s="91"/>
      <c r="C675" s="91"/>
      <c r="D675" s="92"/>
      <c r="E675" s="91"/>
    </row>
    <row r="676" spans="1:5" x14ac:dyDescent="0.35">
      <c r="A676" s="90"/>
      <c r="B676" s="91"/>
      <c r="C676" s="91"/>
      <c r="D676" s="92"/>
      <c r="E676" s="91"/>
    </row>
    <row r="677" spans="1:5" x14ac:dyDescent="0.35">
      <c r="A677" s="90"/>
      <c r="B677" s="91"/>
      <c r="C677" s="91"/>
      <c r="D677" s="92"/>
      <c r="E677" s="91"/>
    </row>
    <row r="678" spans="1:5" x14ac:dyDescent="0.35">
      <c r="A678" s="90"/>
      <c r="B678" s="91"/>
      <c r="C678" s="91"/>
      <c r="D678" s="92"/>
      <c r="E678" s="91"/>
    </row>
    <row r="679" spans="1:5" x14ac:dyDescent="0.35">
      <c r="A679" s="90"/>
      <c r="B679" s="91"/>
      <c r="C679" s="91"/>
      <c r="D679" s="92"/>
      <c r="E679" s="91"/>
    </row>
    <row r="680" spans="1:5" x14ac:dyDescent="0.35">
      <c r="A680" s="90"/>
      <c r="B680" s="91"/>
      <c r="C680" s="91"/>
      <c r="D680" s="92"/>
      <c r="E680" s="91"/>
    </row>
    <row r="681" spans="1:5" x14ac:dyDescent="0.35">
      <c r="A681" s="90"/>
      <c r="B681" s="91"/>
      <c r="C681" s="91"/>
      <c r="D681" s="92"/>
      <c r="E681" s="91"/>
    </row>
    <row r="682" spans="1:5" x14ac:dyDescent="0.35">
      <c r="A682" s="90"/>
      <c r="B682" s="91"/>
      <c r="C682" s="91"/>
      <c r="D682" s="92"/>
      <c r="E682" s="91"/>
    </row>
    <row r="683" spans="1:5" x14ac:dyDescent="0.35">
      <c r="A683" s="90"/>
      <c r="B683" s="91"/>
      <c r="C683" s="91"/>
      <c r="D683" s="92"/>
      <c r="E683" s="91"/>
    </row>
    <row r="684" spans="1:5" x14ac:dyDescent="0.35">
      <c r="A684" s="90"/>
      <c r="B684" s="91"/>
      <c r="C684" s="91"/>
      <c r="D684" s="92"/>
      <c r="E684" s="91"/>
    </row>
    <row r="685" spans="1:5" x14ac:dyDescent="0.35">
      <c r="A685" s="90"/>
      <c r="B685" s="91"/>
      <c r="C685" s="91"/>
      <c r="D685" s="92"/>
      <c r="E685" s="91"/>
    </row>
    <row r="686" spans="1:5" x14ac:dyDescent="0.35">
      <c r="A686" s="90"/>
      <c r="B686" s="91"/>
      <c r="C686" s="91"/>
      <c r="D686" s="92"/>
      <c r="E686" s="91"/>
    </row>
    <row r="687" spans="1:5" x14ac:dyDescent="0.35">
      <c r="A687" s="90"/>
      <c r="B687" s="91"/>
      <c r="C687" s="91"/>
      <c r="D687" s="92"/>
      <c r="E687" s="91"/>
    </row>
    <row r="688" spans="1:5" x14ac:dyDescent="0.35">
      <c r="A688" s="90"/>
      <c r="B688" s="91"/>
      <c r="C688" s="91"/>
      <c r="D688" s="92"/>
      <c r="E688" s="91"/>
    </row>
    <row r="689" spans="1:5" x14ac:dyDescent="0.35">
      <c r="A689" s="90"/>
      <c r="B689" s="91"/>
      <c r="C689" s="91"/>
      <c r="D689" s="92"/>
      <c r="E689" s="91"/>
    </row>
    <row r="690" spans="1:5" x14ac:dyDescent="0.35">
      <c r="A690" s="90"/>
      <c r="B690" s="91"/>
      <c r="C690" s="91"/>
      <c r="D690" s="92"/>
      <c r="E690" s="91"/>
    </row>
    <row r="691" spans="1:5" x14ac:dyDescent="0.35">
      <c r="A691" s="90"/>
      <c r="B691" s="91"/>
      <c r="C691" s="91"/>
      <c r="D691" s="92"/>
      <c r="E691" s="91"/>
    </row>
    <row r="692" spans="1:5" x14ac:dyDescent="0.35">
      <c r="A692" s="90"/>
      <c r="B692" s="91"/>
      <c r="C692" s="91"/>
      <c r="D692" s="92"/>
      <c r="E692" s="91"/>
    </row>
    <row r="693" spans="1:5" x14ac:dyDescent="0.35">
      <c r="A693" s="90"/>
      <c r="B693" s="91"/>
      <c r="C693" s="91"/>
      <c r="D693" s="92"/>
      <c r="E693" s="91"/>
    </row>
    <row r="694" spans="1:5" x14ac:dyDescent="0.35">
      <c r="A694" s="90"/>
      <c r="B694" s="91"/>
      <c r="C694" s="91"/>
      <c r="D694" s="92"/>
      <c r="E694" s="91"/>
    </row>
    <row r="695" spans="1:5" x14ac:dyDescent="0.35">
      <c r="A695" s="90"/>
      <c r="B695" s="91"/>
      <c r="C695" s="91"/>
      <c r="D695" s="92"/>
      <c r="E695" s="91"/>
    </row>
    <row r="696" spans="1:5" x14ac:dyDescent="0.35">
      <c r="A696" s="90"/>
      <c r="B696" s="91"/>
      <c r="C696" s="91"/>
      <c r="D696" s="92"/>
      <c r="E696" s="91"/>
    </row>
    <row r="697" spans="1:5" x14ac:dyDescent="0.35">
      <c r="A697" s="90"/>
      <c r="B697" s="91"/>
      <c r="C697" s="91"/>
      <c r="D697" s="92"/>
      <c r="E697" s="91"/>
    </row>
    <row r="698" spans="1:5" x14ac:dyDescent="0.35">
      <c r="A698" s="90"/>
      <c r="B698" s="91"/>
      <c r="C698" s="91"/>
      <c r="D698" s="92"/>
      <c r="E698" s="91"/>
    </row>
    <row r="699" spans="1:5" x14ac:dyDescent="0.35">
      <c r="A699" s="90"/>
      <c r="B699" s="91"/>
      <c r="C699" s="91"/>
      <c r="D699" s="92"/>
      <c r="E699" s="91"/>
    </row>
    <row r="700" spans="1:5" x14ac:dyDescent="0.35">
      <c r="A700" s="90"/>
      <c r="B700" s="91"/>
      <c r="C700" s="91"/>
      <c r="D700" s="92"/>
      <c r="E700" s="91"/>
    </row>
    <row r="701" spans="1:5" x14ac:dyDescent="0.35">
      <c r="A701" s="90"/>
      <c r="B701" s="91"/>
      <c r="C701" s="91"/>
      <c r="D701" s="92"/>
      <c r="E701" s="91"/>
    </row>
    <row r="702" spans="1:5" x14ac:dyDescent="0.35">
      <c r="A702" s="90"/>
      <c r="B702" s="91"/>
      <c r="C702" s="91"/>
      <c r="D702" s="92"/>
      <c r="E702" s="91"/>
    </row>
    <row r="703" spans="1:5" x14ac:dyDescent="0.35">
      <c r="A703" s="90"/>
      <c r="B703" s="91"/>
      <c r="C703" s="91"/>
      <c r="D703" s="92"/>
      <c r="E703" s="91"/>
    </row>
    <row r="704" spans="1:5" x14ac:dyDescent="0.35">
      <c r="A704" s="90"/>
      <c r="B704" s="91"/>
      <c r="C704" s="91"/>
      <c r="D704" s="92"/>
      <c r="E704" s="91"/>
    </row>
    <row r="705" spans="1:5" x14ac:dyDescent="0.35">
      <c r="A705" s="90"/>
      <c r="B705" s="91"/>
      <c r="C705" s="91"/>
      <c r="D705" s="92"/>
      <c r="E705" s="91"/>
    </row>
    <row r="706" spans="1:5" x14ac:dyDescent="0.35">
      <c r="A706" s="90"/>
      <c r="B706" s="91"/>
      <c r="C706" s="91"/>
      <c r="D706" s="92"/>
      <c r="E706" s="91"/>
    </row>
    <row r="707" spans="1:5" x14ac:dyDescent="0.35">
      <c r="A707" s="90"/>
      <c r="B707" s="91"/>
      <c r="C707" s="91"/>
      <c r="D707" s="92"/>
      <c r="E707" s="91"/>
    </row>
    <row r="708" spans="1:5" x14ac:dyDescent="0.35">
      <c r="A708" s="90"/>
      <c r="B708" s="91"/>
      <c r="C708" s="91"/>
      <c r="D708" s="92"/>
      <c r="E708" s="91"/>
    </row>
    <row r="709" spans="1:5" x14ac:dyDescent="0.35">
      <c r="A709" s="90"/>
      <c r="B709" s="91"/>
      <c r="C709" s="91"/>
      <c r="D709" s="92"/>
      <c r="E709" s="91"/>
    </row>
    <row r="710" spans="1:5" x14ac:dyDescent="0.35">
      <c r="A710" s="90"/>
      <c r="B710" s="91"/>
      <c r="C710" s="91"/>
      <c r="D710" s="92"/>
      <c r="E710" s="91"/>
    </row>
    <row r="711" spans="1:5" x14ac:dyDescent="0.35">
      <c r="A711" s="90"/>
      <c r="B711" s="91"/>
      <c r="C711" s="91"/>
      <c r="D711" s="92"/>
      <c r="E711" s="91"/>
    </row>
    <row r="712" spans="1:5" x14ac:dyDescent="0.35">
      <c r="A712" s="90"/>
      <c r="B712" s="91"/>
      <c r="C712" s="91"/>
      <c r="D712" s="92"/>
      <c r="E712" s="91"/>
    </row>
    <row r="713" spans="1:5" x14ac:dyDescent="0.35">
      <c r="A713" s="90"/>
      <c r="B713" s="91"/>
      <c r="C713" s="91"/>
      <c r="D713" s="92"/>
      <c r="E713" s="91"/>
    </row>
    <row r="714" spans="1:5" x14ac:dyDescent="0.35">
      <c r="A714" s="90"/>
      <c r="B714" s="91"/>
      <c r="C714" s="91"/>
      <c r="D714" s="92"/>
      <c r="E714" s="91"/>
    </row>
    <row r="715" spans="1:5" x14ac:dyDescent="0.35">
      <c r="A715" s="90"/>
      <c r="B715" s="91"/>
      <c r="C715" s="91"/>
      <c r="D715" s="92"/>
      <c r="E715" s="91"/>
    </row>
    <row r="716" spans="1:5" x14ac:dyDescent="0.35">
      <c r="A716" s="90"/>
      <c r="B716" s="91"/>
      <c r="C716" s="91"/>
      <c r="D716" s="92"/>
      <c r="E716" s="91"/>
    </row>
    <row r="717" spans="1:5" x14ac:dyDescent="0.35">
      <c r="A717" s="90"/>
      <c r="B717" s="91"/>
      <c r="C717" s="91"/>
      <c r="D717" s="92"/>
      <c r="E717" s="91"/>
    </row>
    <row r="718" spans="1:5" x14ac:dyDescent="0.35">
      <c r="A718" s="90"/>
      <c r="B718" s="91"/>
      <c r="C718" s="91"/>
      <c r="D718" s="92"/>
      <c r="E718" s="91"/>
    </row>
    <row r="719" spans="1:5" x14ac:dyDescent="0.35">
      <c r="A719" s="90"/>
      <c r="B719" s="91"/>
      <c r="C719" s="91"/>
      <c r="D719" s="92"/>
      <c r="E719" s="91"/>
    </row>
    <row r="720" spans="1:5" x14ac:dyDescent="0.35">
      <c r="A720" s="90"/>
      <c r="B720" s="91"/>
      <c r="C720" s="91"/>
      <c r="D720" s="92"/>
      <c r="E720" s="91"/>
    </row>
    <row r="721" spans="1:5" x14ac:dyDescent="0.35">
      <c r="A721" s="90"/>
      <c r="B721" s="91"/>
      <c r="C721" s="91"/>
      <c r="D721" s="92"/>
      <c r="E721" s="91"/>
    </row>
    <row r="722" spans="1:5" x14ac:dyDescent="0.35">
      <c r="A722" s="90"/>
      <c r="B722" s="91"/>
      <c r="C722" s="91"/>
      <c r="D722" s="92"/>
      <c r="E722" s="91"/>
    </row>
    <row r="723" spans="1:5" x14ac:dyDescent="0.35">
      <c r="A723" s="90"/>
      <c r="B723" s="91"/>
      <c r="C723" s="91"/>
      <c r="D723" s="92"/>
      <c r="E723" s="91"/>
    </row>
    <row r="724" spans="1:5" x14ac:dyDescent="0.35">
      <c r="A724" s="90"/>
      <c r="B724" s="91"/>
      <c r="C724" s="91"/>
      <c r="D724" s="92"/>
      <c r="E724" s="91"/>
    </row>
    <row r="725" spans="1:5" x14ac:dyDescent="0.35">
      <c r="A725" s="90"/>
      <c r="B725" s="91"/>
      <c r="C725" s="91"/>
      <c r="D725" s="92"/>
      <c r="E725" s="91"/>
    </row>
    <row r="726" spans="1:5" x14ac:dyDescent="0.35">
      <c r="A726" s="90"/>
      <c r="B726" s="91"/>
      <c r="C726" s="91"/>
      <c r="D726" s="92"/>
      <c r="E726" s="91"/>
    </row>
    <row r="727" spans="1:5" x14ac:dyDescent="0.35">
      <c r="A727" s="90"/>
      <c r="B727" s="91"/>
      <c r="C727" s="91"/>
      <c r="D727" s="92"/>
      <c r="E727" s="91"/>
    </row>
    <row r="728" spans="1:5" x14ac:dyDescent="0.35">
      <c r="A728" s="90"/>
      <c r="B728" s="91"/>
      <c r="C728" s="91"/>
      <c r="D728" s="92"/>
      <c r="E728" s="91"/>
    </row>
    <row r="729" spans="1:5" x14ac:dyDescent="0.35">
      <c r="A729" s="90"/>
      <c r="B729" s="91"/>
      <c r="C729" s="91"/>
      <c r="D729" s="92"/>
      <c r="E729" s="91"/>
    </row>
    <row r="730" spans="1:5" x14ac:dyDescent="0.35">
      <c r="A730" s="90"/>
      <c r="B730" s="91"/>
      <c r="C730" s="91"/>
      <c r="D730" s="92"/>
      <c r="E730" s="91"/>
    </row>
    <row r="731" spans="1:5" x14ac:dyDescent="0.35">
      <c r="A731" s="90"/>
      <c r="B731" s="91"/>
      <c r="C731" s="91"/>
      <c r="D731" s="92"/>
      <c r="E731" s="91"/>
    </row>
    <row r="732" spans="1:5" x14ac:dyDescent="0.35">
      <c r="A732" s="90"/>
      <c r="B732" s="91"/>
      <c r="C732" s="91"/>
      <c r="D732" s="92"/>
      <c r="E732" s="91"/>
    </row>
    <row r="733" spans="1:5" x14ac:dyDescent="0.35">
      <c r="A733" s="90"/>
      <c r="B733" s="91"/>
      <c r="C733" s="91"/>
      <c r="D733" s="92"/>
      <c r="E733" s="91"/>
    </row>
    <row r="734" spans="1:5" x14ac:dyDescent="0.35">
      <c r="A734" s="90"/>
      <c r="B734" s="91"/>
      <c r="C734" s="91"/>
      <c r="D734" s="92"/>
      <c r="E734" s="91"/>
    </row>
    <row r="735" spans="1:5" x14ac:dyDescent="0.35">
      <c r="A735" s="90"/>
      <c r="B735" s="91"/>
      <c r="C735" s="91"/>
      <c r="D735" s="92"/>
      <c r="E735" s="91"/>
    </row>
    <row r="736" spans="1:5" x14ac:dyDescent="0.35">
      <c r="A736" s="90"/>
      <c r="B736" s="91"/>
      <c r="C736" s="91"/>
      <c r="D736" s="92"/>
      <c r="E736" s="91"/>
    </row>
    <row r="737" spans="1:5" x14ac:dyDescent="0.35">
      <c r="A737" s="90"/>
      <c r="B737" s="91"/>
      <c r="C737" s="91"/>
      <c r="D737" s="92"/>
      <c r="E737" s="91"/>
    </row>
    <row r="738" spans="1:5" x14ac:dyDescent="0.35">
      <c r="A738" s="90"/>
      <c r="B738" s="91"/>
      <c r="C738" s="91"/>
      <c r="D738" s="92"/>
      <c r="E738" s="91"/>
    </row>
    <row r="739" spans="1:5" x14ac:dyDescent="0.35">
      <c r="A739" s="90"/>
      <c r="B739" s="91"/>
      <c r="C739" s="91"/>
      <c r="D739" s="92"/>
      <c r="E739" s="91"/>
    </row>
    <row r="740" spans="1:5" x14ac:dyDescent="0.35">
      <c r="A740" s="90"/>
      <c r="B740" s="91"/>
      <c r="C740" s="91"/>
      <c r="D740" s="92"/>
      <c r="E740" s="91"/>
    </row>
    <row r="741" spans="1:5" x14ac:dyDescent="0.35">
      <c r="A741" s="90"/>
      <c r="B741" s="91"/>
      <c r="C741" s="91"/>
      <c r="D741" s="92"/>
      <c r="E741" s="91"/>
    </row>
    <row r="742" spans="1:5" x14ac:dyDescent="0.35">
      <c r="A742" s="90"/>
      <c r="B742" s="91"/>
      <c r="C742" s="91"/>
      <c r="D742" s="92"/>
      <c r="E742" s="91"/>
    </row>
    <row r="743" spans="1:5" x14ac:dyDescent="0.35">
      <c r="A743" s="90"/>
      <c r="B743" s="91"/>
      <c r="C743" s="91"/>
      <c r="D743" s="92"/>
      <c r="E743" s="91"/>
    </row>
    <row r="744" spans="1:5" x14ac:dyDescent="0.35">
      <c r="A744" s="90"/>
      <c r="B744" s="91"/>
      <c r="C744" s="91"/>
      <c r="D744" s="92"/>
      <c r="E744" s="91"/>
    </row>
    <row r="745" spans="1:5" x14ac:dyDescent="0.35">
      <c r="A745" s="90"/>
      <c r="B745" s="91"/>
      <c r="C745" s="91"/>
      <c r="D745" s="92"/>
      <c r="E745" s="91"/>
    </row>
    <row r="746" spans="1:5" x14ac:dyDescent="0.35">
      <c r="A746" s="90"/>
      <c r="B746" s="91"/>
      <c r="C746" s="91"/>
      <c r="D746" s="92"/>
      <c r="E746" s="91"/>
    </row>
    <row r="747" spans="1:5" x14ac:dyDescent="0.35">
      <c r="A747" s="90"/>
      <c r="B747" s="91"/>
      <c r="C747" s="91"/>
      <c r="D747" s="92"/>
      <c r="E747" s="91"/>
    </row>
    <row r="748" spans="1:5" x14ac:dyDescent="0.35">
      <c r="A748" s="90"/>
      <c r="B748" s="91"/>
      <c r="C748" s="91"/>
      <c r="D748" s="92"/>
      <c r="E748" s="91"/>
    </row>
    <row r="749" spans="1:5" x14ac:dyDescent="0.35">
      <c r="A749" s="90"/>
      <c r="B749" s="91"/>
      <c r="C749" s="91"/>
      <c r="D749" s="92"/>
      <c r="E749" s="91"/>
    </row>
    <row r="750" spans="1:5" x14ac:dyDescent="0.35">
      <c r="A750" s="90"/>
      <c r="B750" s="91"/>
      <c r="C750" s="91"/>
      <c r="D750" s="92"/>
      <c r="E750" s="91"/>
    </row>
    <row r="751" spans="1:5" x14ac:dyDescent="0.35">
      <c r="A751" s="90"/>
      <c r="B751" s="91"/>
      <c r="C751" s="91"/>
      <c r="D751" s="92"/>
      <c r="E751" s="91"/>
    </row>
    <row r="752" spans="1:5" x14ac:dyDescent="0.35">
      <c r="A752" s="90"/>
      <c r="B752" s="91"/>
      <c r="C752" s="91"/>
      <c r="D752" s="92"/>
      <c r="E752" s="91"/>
    </row>
    <row r="753" spans="1:5" x14ac:dyDescent="0.35">
      <c r="A753" s="90"/>
      <c r="B753" s="91"/>
      <c r="C753" s="91"/>
      <c r="D753" s="92"/>
      <c r="E753" s="91"/>
    </row>
    <row r="754" spans="1:5" x14ac:dyDescent="0.35">
      <c r="A754" s="90"/>
      <c r="B754" s="91"/>
      <c r="C754" s="91"/>
      <c r="D754" s="92"/>
      <c r="E754" s="91"/>
    </row>
    <row r="755" spans="1:5" x14ac:dyDescent="0.35">
      <c r="A755" s="90"/>
      <c r="B755" s="91"/>
      <c r="C755" s="91"/>
      <c r="D755" s="92"/>
      <c r="E755" s="91"/>
    </row>
    <row r="756" spans="1:5" x14ac:dyDescent="0.35">
      <c r="A756" s="90"/>
      <c r="B756" s="91"/>
      <c r="C756" s="91"/>
      <c r="D756" s="92"/>
      <c r="E756" s="91"/>
    </row>
    <row r="757" spans="1:5" x14ac:dyDescent="0.35">
      <c r="A757" s="90"/>
      <c r="B757" s="91"/>
      <c r="C757" s="91"/>
      <c r="D757" s="92"/>
      <c r="E757" s="91"/>
    </row>
    <row r="758" spans="1:5" x14ac:dyDescent="0.35">
      <c r="A758" s="90"/>
      <c r="B758" s="91"/>
      <c r="C758" s="91"/>
      <c r="D758" s="92"/>
      <c r="E758" s="91"/>
    </row>
    <row r="759" spans="1:5" x14ac:dyDescent="0.35">
      <c r="A759" s="90"/>
      <c r="B759" s="91"/>
      <c r="C759" s="91"/>
      <c r="D759" s="92"/>
      <c r="E759" s="91"/>
    </row>
    <row r="760" spans="1:5" x14ac:dyDescent="0.35">
      <c r="A760" s="90"/>
      <c r="B760" s="91"/>
      <c r="C760" s="91"/>
      <c r="D760" s="92"/>
      <c r="E760" s="91"/>
    </row>
    <row r="761" spans="1:5" x14ac:dyDescent="0.35">
      <c r="A761" s="90"/>
      <c r="B761" s="91"/>
      <c r="C761" s="91"/>
      <c r="D761" s="92"/>
      <c r="E761" s="91"/>
    </row>
    <row r="762" spans="1:5" x14ac:dyDescent="0.35">
      <c r="A762" s="90"/>
      <c r="B762" s="91"/>
      <c r="C762" s="91"/>
      <c r="D762" s="92"/>
      <c r="E762" s="91"/>
    </row>
    <row r="763" spans="1:5" x14ac:dyDescent="0.35">
      <c r="A763" s="90"/>
      <c r="B763" s="91"/>
      <c r="C763" s="91"/>
      <c r="D763" s="92"/>
      <c r="E763" s="91"/>
    </row>
    <row r="764" spans="1:5" x14ac:dyDescent="0.35">
      <c r="A764" s="90"/>
      <c r="B764" s="91"/>
      <c r="C764" s="91"/>
      <c r="D764" s="92"/>
      <c r="E764" s="91"/>
    </row>
    <row r="765" spans="1:5" x14ac:dyDescent="0.35">
      <c r="A765" s="90"/>
      <c r="B765" s="91"/>
      <c r="C765" s="91"/>
      <c r="D765" s="92"/>
      <c r="E765" s="91"/>
    </row>
    <row r="766" spans="1:5" x14ac:dyDescent="0.35">
      <c r="A766" s="90"/>
      <c r="B766" s="91"/>
      <c r="C766" s="91"/>
      <c r="D766" s="92"/>
      <c r="E766" s="91"/>
    </row>
    <row r="767" spans="1:5" x14ac:dyDescent="0.35">
      <c r="A767" s="90"/>
      <c r="B767" s="91"/>
      <c r="C767" s="91"/>
      <c r="D767" s="92"/>
      <c r="E767" s="91"/>
    </row>
    <row r="768" spans="1:5" x14ac:dyDescent="0.35">
      <c r="A768" s="90"/>
      <c r="B768" s="91"/>
      <c r="C768" s="91"/>
      <c r="D768" s="92"/>
      <c r="E768" s="91"/>
    </row>
    <row r="769" spans="1:5" x14ac:dyDescent="0.35">
      <c r="A769" s="90"/>
      <c r="B769" s="91"/>
      <c r="C769" s="91"/>
      <c r="D769" s="92"/>
      <c r="E769" s="91"/>
    </row>
    <row r="770" spans="1:5" x14ac:dyDescent="0.35">
      <c r="A770" s="90"/>
      <c r="B770" s="91"/>
      <c r="C770" s="91"/>
      <c r="D770" s="92"/>
      <c r="E770" s="91"/>
    </row>
    <row r="771" spans="1:5" x14ac:dyDescent="0.35">
      <c r="A771" s="90"/>
      <c r="B771" s="91"/>
      <c r="C771" s="91"/>
      <c r="D771" s="92"/>
      <c r="E771" s="91"/>
    </row>
    <row r="772" spans="1:5" x14ac:dyDescent="0.35">
      <c r="A772" s="90"/>
      <c r="B772" s="91"/>
      <c r="C772" s="91"/>
      <c r="D772" s="92"/>
      <c r="E772" s="91"/>
    </row>
    <row r="773" spans="1:5" x14ac:dyDescent="0.35">
      <c r="A773" s="90"/>
      <c r="B773" s="91"/>
      <c r="C773" s="91"/>
      <c r="D773" s="92"/>
      <c r="E773" s="91"/>
    </row>
    <row r="774" spans="1:5" x14ac:dyDescent="0.35">
      <c r="A774" s="90"/>
      <c r="B774" s="91"/>
      <c r="C774" s="91"/>
      <c r="D774" s="92"/>
      <c r="E774" s="91"/>
    </row>
    <row r="775" spans="1:5" x14ac:dyDescent="0.35">
      <c r="A775" s="90"/>
      <c r="B775" s="91"/>
      <c r="C775" s="91"/>
      <c r="D775" s="92"/>
      <c r="E775" s="91"/>
    </row>
    <row r="776" spans="1:5" x14ac:dyDescent="0.35">
      <c r="A776" s="90"/>
      <c r="B776" s="91"/>
      <c r="C776" s="91"/>
      <c r="D776" s="92"/>
      <c r="E776" s="91"/>
    </row>
    <row r="777" spans="1:5" x14ac:dyDescent="0.35">
      <c r="A777" s="90"/>
      <c r="B777" s="91"/>
      <c r="C777" s="91"/>
      <c r="D777" s="92"/>
      <c r="E777" s="91"/>
    </row>
    <row r="778" spans="1:5" x14ac:dyDescent="0.35">
      <c r="A778" s="90"/>
      <c r="B778" s="91"/>
      <c r="C778" s="91"/>
      <c r="D778" s="92"/>
      <c r="E778" s="91"/>
    </row>
    <row r="779" spans="1:5" x14ac:dyDescent="0.35">
      <c r="A779" s="90"/>
      <c r="B779" s="91"/>
      <c r="C779" s="91"/>
      <c r="D779" s="92"/>
      <c r="E779" s="91"/>
    </row>
    <row r="780" spans="1:5" x14ac:dyDescent="0.35">
      <c r="A780" s="90"/>
      <c r="B780" s="91"/>
      <c r="C780" s="91"/>
      <c r="D780" s="92"/>
      <c r="E780" s="91"/>
    </row>
    <row r="781" spans="1:5" x14ac:dyDescent="0.35">
      <c r="A781" s="90"/>
      <c r="B781" s="91"/>
      <c r="C781" s="91"/>
      <c r="D781" s="92"/>
      <c r="E781" s="91"/>
    </row>
    <row r="782" spans="1:5" x14ac:dyDescent="0.35">
      <c r="A782" s="90"/>
      <c r="B782" s="91"/>
      <c r="C782" s="91"/>
      <c r="D782" s="92"/>
      <c r="E782" s="91"/>
    </row>
    <row r="783" spans="1:5" x14ac:dyDescent="0.35">
      <c r="A783" s="90"/>
      <c r="B783" s="91"/>
      <c r="C783" s="91"/>
      <c r="D783" s="92"/>
      <c r="E783" s="91"/>
    </row>
    <row r="784" spans="1:5" x14ac:dyDescent="0.35">
      <c r="A784" s="90"/>
      <c r="B784" s="91"/>
      <c r="C784" s="91"/>
      <c r="D784" s="92"/>
      <c r="E784" s="91"/>
    </row>
    <row r="785" spans="1:5" x14ac:dyDescent="0.35">
      <c r="A785" s="90"/>
      <c r="B785" s="91"/>
      <c r="C785" s="91"/>
      <c r="D785" s="92"/>
      <c r="E785" s="91"/>
    </row>
    <row r="786" spans="1:5" x14ac:dyDescent="0.35">
      <c r="A786" s="90"/>
      <c r="B786" s="91"/>
      <c r="C786" s="91"/>
      <c r="D786" s="92"/>
      <c r="E786" s="91"/>
    </row>
    <row r="787" spans="1:5" x14ac:dyDescent="0.35">
      <c r="A787" s="90"/>
      <c r="B787" s="91"/>
      <c r="C787" s="91"/>
      <c r="D787" s="92"/>
      <c r="E787" s="91"/>
    </row>
    <row r="788" spans="1:5" x14ac:dyDescent="0.35">
      <c r="A788" s="90"/>
      <c r="B788" s="91"/>
      <c r="C788" s="91"/>
      <c r="D788" s="92"/>
      <c r="E788" s="91"/>
    </row>
    <row r="789" spans="1:5" x14ac:dyDescent="0.35">
      <c r="A789" s="90"/>
      <c r="B789" s="91"/>
      <c r="C789" s="91"/>
      <c r="D789" s="92"/>
      <c r="E789" s="91"/>
    </row>
    <row r="790" spans="1:5" x14ac:dyDescent="0.35">
      <c r="A790" s="90"/>
      <c r="B790" s="91"/>
      <c r="C790" s="91"/>
      <c r="D790" s="92"/>
      <c r="E790" s="91"/>
    </row>
    <row r="791" spans="1:5" x14ac:dyDescent="0.35">
      <c r="A791" s="90"/>
      <c r="B791" s="91"/>
      <c r="C791" s="91"/>
      <c r="D791" s="92"/>
      <c r="E791" s="91"/>
    </row>
    <row r="792" spans="1:5" x14ac:dyDescent="0.35">
      <c r="A792" s="90"/>
      <c r="B792" s="91"/>
      <c r="C792" s="91"/>
      <c r="D792" s="92"/>
      <c r="E792" s="91"/>
    </row>
    <row r="793" spans="1:5" x14ac:dyDescent="0.35">
      <c r="A793" s="90"/>
      <c r="B793" s="91"/>
      <c r="C793" s="91"/>
      <c r="D793" s="92"/>
      <c r="E793" s="91"/>
    </row>
    <row r="794" spans="1:5" x14ac:dyDescent="0.35">
      <c r="A794" s="90"/>
      <c r="B794" s="91"/>
      <c r="C794" s="91"/>
      <c r="D794" s="92"/>
      <c r="E794" s="91"/>
    </row>
    <row r="795" spans="1:5" x14ac:dyDescent="0.35">
      <c r="A795" s="90"/>
      <c r="B795" s="91"/>
      <c r="C795" s="91"/>
      <c r="D795" s="92"/>
      <c r="E795" s="91"/>
    </row>
    <row r="796" spans="1:5" x14ac:dyDescent="0.35">
      <c r="A796" s="90"/>
      <c r="B796" s="91"/>
      <c r="C796" s="91"/>
      <c r="D796" s="92"/>
      <c r="E796" s="91"/>
    </row>
    <row r="797" spans="1:5" x14ac:dyDescent="0.35">
      <c r="A797" s="90"/>
      <c r="B797" s="91"/>
      <c r="C797" s="91"/>
      <c r="D797" s="92"/>
      <c r="E797" s="91"/>
    </row>
    <row r="798" spans="1:5" x14ac:dyDescent="0.35">
      <c r="A798" s="90"/>
      <c r="B798" s="91"/>
      <c r="C798" s="91"/>
      <c r="D798" s="92"/>
      <c r="E798" s="91"/>
    </row>
    <row r="799" spans="1:5" x14ac:dyDescent="0.35">
      <c r="A799" s="90"/>
      <c r="B799" s="91"/>
      <c r="C799" s="91"/>
      <c r="D799" s="92"/>
      <c r="E799" s="91"/>
    </row>
    <row r="800" spans="1:5" x14ac:dyDescent="0.35">
      <c r="A800" s="90"/>
      <c r="B800" s="91"/>
      <c r="C800" s="91"/>
      <c r="D800" s="92"/>
      <c r="E800" s="91"/>
    </row>
    <row r="801" spans="1:5" x14ac:dyDescent="0.35">
      <c r="A801" s="90"/>
      <c r="B801" s="91"/>
      <c r="C801" s="91"/>
      <c r="D801" s="92"/>
      <c r="E801" s="91"/>
    </row>
    <row r="802" spans="1:5" x14ac:dyDescent="0.35">
      <c r="A802" s="90"/>
      <c r="B802" s="91"/>
      <c r="C802" s="91"/>
      <c r="D802" s="92"/>
      <c r="E802" s="91"/>
    </row>
    <row r="803" spans="1:5" x14ac:dyDescent="0.35">
      <c r="A803" s="90"/>
      <c r="B803" s="91"/>
      <c r="C803" s="91"/>
      <c r="D803" s="92"/>
      <c r="E803" s="91"/>
    </row>
    <row r="804" spans="1:5" x14ac:dyDescent="0.35">
      <c r="A804" s="90"/>
      <c r="B804" s="91"/>
      <c r="C804" s="91"/>
      <c r="D804" s="92"/>
      <c r="E804" s="91"/>
    </row>
    <row r="805" spans="1:5" x14ac:dyDescent="0.35">
      <c r="A805" s="90"/>
      <c r="B805" s="91"/>
      <c r="C805" s="91"/>
      <c r="D805" s="92"/>
      <c r="E805" s="91"/>
    </row>
    <row r="806" spans="1:5" x14ac:dyDescent="0.35">
      <c r="A806" s="90"/>
      <c r="B806" s="91"/>
      <c r="C806" s="91"/>
      <c r="D806" s="92"/>
      <c r="E806" s="91"/>
    </row>
    <row r="807" spans="1:5" x14ac:dyDescent="0.35">
      <c r="A807" s="90"/>
      <c r="B807" s="91"/>
      <c r="C807" s="91"/>
      <c r="D807" s="92"/>
      <c r="E807" s="91"/>
    </row>
    <row r="808" spans="1:5" x14ac:dyDescent="0.35">
      <c r="A808" s="90"/>
      <c r="B808" s="91"/>
      <c r="C808" s="91"/>
      <c r="D808" s="92"/>
      <c r="E808" s="91"/>
    </row>
    <row r="809" spans="1:5" x14ac:dyDescent="0.35">
      <c r="A809" s="90"/>
      <c r="B809" s="91"/>
      <c r="C809" s="91"/>
      <c r="D809" s="92"/>
      <c r="E809" s="91"/>
    </row>
    <row r="810" spans="1:5" x14ac:dyDescent="0.35">
      <c r="A810" s="90"/>
      <c r="B810" s="91"/>
      <c r="C810" s="91"/>
      <c r="D810" s="92"/>
      <c r="E810" s="91"/>
    </row>
    <row r="811" spans="1:5" x14ac:dyDescent="0.35">
      <c r="A811" s="90"/>
      <c r="B811" s="91"/>
      <c r="C811" s="91"/>
      <c r="D811" s="92"/>
      <c r="E811" s="91"/>
    </row>
    <row r="812" spans="1:5" x14ac:dyDescent="0.35">
      <c r="A812" s="90"/>
      <c r="B812" s="91"/>
      <c r="C812" s="91"/>
      <c r="D812" s="92"/>
      <c r="E812" s="91"/>
    </row>
    <row r="813" spans="1:5" x14ac:dyDescent="0.35">
      <c r="A813" s="90"/>
      <c r="B813" s="91"/>
      <c r="C813" s="91"/>
      <c r="D813" s="92"/>
      <c r="E813" s="91"/>
    </row>
    <row r="814" spans="1:5" x14ac:dyDescent="0.35">
      <c r="A814" s="90"/>
      <c r="B814" s="91"/>
      <c r="C814" s="91"/>
      <c r="D814" s="92"/>
      <c r="E814" s="91"/>
    </row>
    <row r="815" spans="1:5" x14ac:dyDescent="0.35">
      <c r="A815" s="90"/>
      <c r="B815" s="91"/>
      <c r="C815" s="91"/>
      <c r="D815" s="92"/>
      <c r="E815" s="91"/>
    </row>
    <row r="816" spans="1:5" x14ac:dyDescent="0.35">
      <c r="A816" s="90"/>
      <c r="B816" s="91"/>
      <c r="C816" s="91"/>
      <c r="D816" s="92"/>
      <c r="E816" s="91"/>
    </row>
    <row r="817" spans="1:5" x14ac:dyDescent="0.35">
      <c r="A817" s="90"/>
      <c r="B817" s="91"/>
      <c r="C817" s="91"/>
      <c r="D817" s="92"/>
      <c r="E817" s="91"/>
    </row>
    <row r="818" spans="1:5" x14ac:dyDescent="0.35">
      <c r="A818" s="90"/>
      <c r="B818" s="91"/>
      <c r="C818" s="91"/>
      <c r="D818" s="92"/>
      <c r="E818" s="91"/>
    </row>
    <row r="819" spans="1:5" x14ac:dyDescent="0.35">
      <c r="A819" s="90"/>
      <c r="B819" s="91"/>
      <c r="C819" s="91"/>
      <c r="D819" s="92"/>
      <c r="E819" s="91"/>
    </row>
    <row r="820" spans="1:5" x14ac:dyDescent="0.35">
      <c r="A820" s="90"/>
      <c r="B820" s="91"/>
      <c r="C820" s="91"/>
      <c r="D820" s="92"/>
      <c r="E820" s="91"/>
    </row>
    <row r="821" spans="1:5" x14ac:dyDescent="0.35">
      <c r="A821" s="90"/>
      <c r="B821" s="91"/>
      <c r="C821" s="91"/>
      <c r="D821" s="92"/>
      <c r="E821" s="91"/>
    </row>
    <row r="822" spans="1:5" x14ac:dyDescent="0.35">
      <c r="A822" s="90"/>
      <c r="B822" s="91"/>
      <c r="C822" s="91"/>
      <c r="D822" s="92"/>
      <c r="E822" s="91"/>
    </row>
    <row r="823" spans="1:5" x14ac:dyDescent="0.35">
      <c r="A823" s="90"/>
      <c r="B823" s="91"/>
      <c r="C823" s="91"/>
      <c r="D823" s="92"/>
      <c r="E823" s="91"/>
    </row>
    <row r="824" spans="1:5" x14ac:dyDescent="0.35">
      <c r="A824" s="90"/>
      <c r="B824" s="91"/>
      <c r="C824" s="91"/>
      <c r="D824" s="92"/>
      <c r="E824" s="91"/>
    </row>
    <row r="825" spans="1:5" x14ac:dyDescent="0.35">
      <c r="A825" s="90"/>
      <c r="B825" s="91"/>
      <c r="C825" s="91"/>
      <c r="D825" s="92"/>
      <c r="E825" s="91"/>
    </row>
    <row r="826" spans="1:5" x14ac:dyDescent="0.35">
      <c r="A826" s="90"/>
      <c r="B826" s="91"/>
      <c r="C826" s="91"/>
      <c r="D826" s="92"/>
      <c r="E826" s="91"/>
    </row>
    <row r="827" spans="1:5" x14ac:dyDescent="0.35">
      <c r="A827" s="90"/>
      <c r="B827" s="91"/>
      <c r="C827" s="91"/>
      <c r="D827" s="92"/>
      <c r="E827" s="91"/>
    </row>
    <row r="828" spans="1:5" x14ac:dyDescent="0.35">
      <c r="A828" s="90"/>
      <c r="B828" s="91"/>
      <c r="C828" s="91"/>
      <c r="D828" s="92"/>
      <c r="E828" s="91"/>
    </row>
    <row r="829" spans="1:5" x14ac:dyDescent="0.35">
      <c r="A829" s="90"/>
      <c r="B829" s="91"/>
      <c r="C829" s="91"/>
      <c r="D829" s="92"/>
      <c r="E829" s="91"/>
    </row>
    <row r="830" spans="1:5" x14ac:dyDescent="0.35">
      <c r="A830" s="90"/>
      <c r="B830" s="91"/>
      <c r="C830" s="91"/>
      <c r="D830" s="92"/>
      <c r="E830" s="91"/>
    </row>
    <row r="831" spans="1:5" x14ac:dyDescent="0.35">
      <c r="A831" s="90"/>
      <c r="B831" s="91"/>
      <c r="C831" s="91"/>
      <c r="D831" s="92"/>
      <c r="E831" s="91"/>
    </row>
    <row r="832" spans="1:5" x14ac:dyDescent="0.35">
      <c r="A832" s="90"/>
      <c r="B832" s="91"/>
      <c r="C832" s="91"/>
      <c r="D832" s="92"/>
      <c r="E832" s="91"/>
    </row>
    <row r="833" spans="1:5" x14ac:dyDescent="0.35">
      <c r="A833" s="90"/>
      <c r="B833" s="91"/>
      <c r="C833" s="91"/>
      <c r="D833" s="92"/>
      <c r="E833" s="91"/>
    </row>
    <row r="834" spans="1:5" x14ac:dyDescent="0.35">
      <c r="A834" s="90"/>
      <c r="B834" s="91"/>
      <c r="C834" s="91"/>
      <c r="D834" s="92"/>
      <c r="E834" s="91"/>
    </row>
    <row r="835" spans="1:5" x14ac:dyDescent="0.35">
      <c r="A835" s="90"/>
      <c r="B835" s="91"/>
      <c r="C835" s="91"/>
      <c r="D835" s="92"/>
      <c r="E835" s="91"/>
    </row>
    <row r="836" spans="1:5" x14ac:dyDescent="0.35">
      <c r="A836" s="90"/>
      <c r="B836" s="91"/>
      <c r="C836" s="91"/>
      <c r="D836" s="92"/>
      <c r="E836" s="91"/>
    </row>
    <row r="837" spans="1:5" x14ac:dyDescent="0.35">
      <c r="A837" s="90"/>
      <c r="B837" s="91"/>
      <c r="C837" s="91"/>
      <c r="D837" s="92"/>
      <c r="E837" s="91"/>
    </row>
    <row r="838" spans="1:5" x14ac:dyDescent="0.35">
      <c r="A838" s="90"/>
      <c r="B838" s="91"/>
      <c r="C838" s="91"/>
      <c r="D838" s="92"/>
      <c r="E838" s="91"/>
    </row>
    <row r="839" spans="1:5" x14ac:dyDescent="0.35">
      <c r="A839" s="90"/>
      <c r="B839" s="91"/>
      <c r="C839" s="91"/>
      <c r="D839" s="92"/>
      <c r="E839" s="91"/>
    </row>
    <row r="840" spans="1:5" x14ac:dyDescent="0.35">
      <c r="A840" s="90"/>
      <c r="B840" s="91"/>
      <c r="C840" s="91"/>
      <c r="D840" s="92"/>
      <c r="E840" s="91"/>
    </row>
    <row r="841" spans="1:5" x14ac:dyDescent="0.35">
      <c r="A841" s="90"/>
      <c r="B841" s="91"/>
      <c r="C841" s="91"/>
      <c r="D841" s="92"/>
      <c r="E841" s="91"/>
    </row>
    <row r="842" spans="1:5" x14ac:dyDescent="0.35">
      <c r="A842" s="90"/>
      <c r="B842" s="91"/>
      <c r="C842" s="91"/>
      <c r="D842" s="92"/>
      <c r="E842" s="91"/>
    </row>
    <row r="843" spans="1:5" x14ac:dyDescent="0.35">
      <c r="A843" s="90"/>
      <c r="B843" s="91"/>
      <c r="C843" s="91"/>
      <c r="D843" s="92"/>
      <c r="E843" s="91"/>
    </row>
    <row r="844" spans="1:5" x14ac:dyDescent="0.35">
      <c r="A844" s="90"/>
      <c r="B844" s="91"/>
      <c r="C844" s="91"/>
      <c r="D844" s="92"/>
      <c r="E844" s="91"/>
    </row>
    <row r="845" spans="1:5" x14ac:dyDescent="0.35">
      <c r="A845" s="90"/>
      <c r="B845" s="91"/>
      <c r="C845" s="91"/>
      <c r="D845" s="92"/>
      <c r="E845" s="91"/>
    </row>
    <row r="846" spans="1:5" x14ac:dyDescent="0.35">
      <c r="A846" s="90"/>
      <c r="B846" s="91"/>
      <c r="C846" s="91"/>
      <c r="D846" s="92"/>
      <c r="E846" s="91"/>
    </row>
    <row r="847" spans="1:5" x14ac:dyDescent="0.35">
      <c r="A847" s="90"/>
      <c r="B847" s="91"/>
      <c r="C847" s="91"/>
      <c r="D847" s="92"/>
      <c r="E847" s="91"/>
    </row>
    <row r="848" spans="1:5" x14ac:dyDescent="0.35">
      <c r="A848" s="90"/>
      <c r="B848" s="91"/>
      <c r="C848" s="91"/>
      <c r="D848" s="92"/>
      <c r="E848" s="91"/>
    </row>
    <row r="849" spans="1:5" x14ac:dyDescent="0.35">
      <c r="A849" s="90"/>
      <c r="B849" s="91"/>
      <c r="C849" s="91"/>
      <c r="D849" s="92"/>
      <c r="E849" s="91"/>
    </row>
    <row r="850" spans="1:5" x14ac:dyDescent="0.35">
      <c r="A850" s="90"/>
      <c r="B850" s="91"/>
      <c r="C850" s="91"/>
      <c r="D850" s="92"/>
      <c r="E850" s="91"/>
    </row>
    <row r="851" spans="1:5" x14ac:dyDescent="0.35">
      <c r="A851" s="90"/>
      <c r="B851" s="91"/>
      <c r="C851" s="91"/>
      <c r="D851" s="92"/>
      <c r="E851" s="91"/>
    </row>
    <row r="852" spans="1:5" x14ac:dyDescent="0.35">
      <c r="A852" s="90"/>
      <c r="B852" s="91"/>
      <c r="C852" s="91"/>
      <c r="D852" s="92"/>
      <c r="E852" s="91"/>
    </row>
    <row r="853" spans="1:5" x14ac:dyDescent="0.35">
      <c r="A853" s="90"/>
      <c r="B853" s="91"/>
      <c r="C853" s="91"/>
      <c r="D853" s="92"/>
      <c r="E853" s="91"/>
    </row>
    <row r="854" spans="1:5" x14ac:dyDescent="0.35">
      <c r="A854" s="90"/>
      <c r="B854" s="91"/>
      <c r="C854" s="91"/>
      <c r="D854" s="92"/>
      <c r="E854" s="91"/>
    </row>
    <row r="855" spans="1:5" x14ac:dyDescent="0.35">
      <c r="A855" s="90"/>
      <c r="B855" s="91"/>
      <c r="C855" s="91"/>
      <c r="D855" s="92"/>
      <c r="E855" s="91"/>
    </row>
    <row r="856" spans="1:5" x14ac:dyDescent="0.35">
      <c r="A856" s="90"/>
      <c r="B856" s="91"/>
      <c r="C856" s="91"/>
      <c r="D856" s="92"/>
      <c r="E856" s="91"/>
    </row>
    <row r="857" spans="1:5" x14ac:dyDescent="0.35">
      <c r="A857" s="90"/>
      <c r="B857" s="91"/>
      <c r="C857" s="91"/>
      <c r="D857" s="92"/>
      <c r="E857" s="91"/>
    </row>
    <row r="858" spans="1:5" x14ac:dyDescent="0.35">
      <c r="A858" s="90"/>
      <c r="B858" s="91"/>
      <c r="C858" s="91"/>
      <c r="D858" s="92"/>
      <c r="E858" s="91"/>
    </row>
    <row r="859" spans="1:5" x14ac:dyDescent="0.35">
      <c r="A859" s="90"/>
      <c r="B859" s="91"/>
      <c r="C859" s="91"/>
      <c r="D859" s="92"/>
      <c r="E859" s="91"/>
    </row>
    <row r="860" spans="1:5" x14ac:dyDescent="0.35">
      <c r="A860" s="90"/>
      <c r="B860" s="91"/>
      <c r="C860" s="91"/>
      <c r="D860" s="92"/>
      <c r="E860" s="91"/>
    </row>
    <row r="861" spans="1:5" x14ac:dyDescent="0.35">
      <c r="A861" s="90"/>
      <c r="B861" s="91"/>
      <c r="C861" s="91"/>
      <c r="D861" s="92"/>
      <c r="E861" s="91"/>
    </row>
    <row r="862" spans="1:5" x14ac:dyDescent="0.35">
      <c r="A862" s="90"/>
      <c r="B862" s="91"/>
      <c r="C862" s="91"/>
      <c r="D862" s="92"/>
      <c r="E862" s="91"/>
    </row>
    <row r="863" spans="1:5" x14ac:dyDescent="0.35">
      <c r="A863" s="90"/>
      <c r="B863" s="91"/>
      <c r="C863" s="91"/>
      <c r="D863" s="92"/>
      <c r="E863" s="91"/>
    </row>
    <row r="864" spans="1:5" x14ac:dyDescent="0.35">
      <c r="A864" s="90"/>
      <c r="B864" s="91"/>
      <c r="C864" s="91"/>
      <c r="D864" s="92"/>
      <c r="E864" s="91"/>
    </row>
    <row r="865" spans="1:5" x14ac:dyDescent="0.35">
      <c r="A865" s="90"/>
      <c r="B865" s="91"/>
      <c r="C865" s="91"/>
      <c r="D865" s="92"/>
      <c r="E865" s="91"/>
    </row>
    <row r="866" spans="1:5" x14ac:dyDescent="0.35">
      <c r="A866" s="90"/>
      <c r="B866" s="91"/>
      <c r="C866" s="91"/>
      <c r="D866" s="92"/>
      <c r="E866" s="91"/>
    </row>
    <row r="867" spans="1:5" x14ac:dyDescent="0.35">
      <c r="A867" s="90"/>
      <c r="B867" s="91"/>
      <c r="C867" s="91"/>
      <c r="D867" s="92"/>
      <c r="E867" s="91"/>
    </row>
    <row r="868" spans="1:5" x14ac:dyDescent="0.35">
      <c r="A868" s="90"/>
      <c r="B868" s="91"/>
      <c r="C868" s="91"/>
      <c r="D868" s="92"/>
      <c r="E868" s="91"/>
    </row>
    <row r="869" spans="1:5" x14ac:dyDescent="0.35">
      <c r="A869" s="90"/>
      <c r="B869" s="91"/>
      <c r="C869" s="91"/>
      <c r="D869" s="92"/>
      <c r="E869" s="91"/>
    </row>
    <row r="870" spans="1:5" x14ac:dyDescent="0.35">
      <c r="A870" s="90"/>
      <c r="B870" s="91"/>
      <c r="C870" s="91"/>
      <c r="D870" s="92"/>
      <c r="E870" s="91"/>
    </row>
    <row r="871" spans="1:5" x14ac:dyDescent="0.35">
      <c r="A871" s="90"/>
      <c r="B871" s="91"/>
      <c r="C871" s="91"/>
      <c r="D871" s="92"/>
      <c r="E871" s="91"/>
    </row>
    <row r="872" spans="1:5" x14ac:dyDescent="0.35">
      <c r="A872" s="90"/>
      <c r="B872" s="91"/>
      <c r="C872" s="91"/>
      <c r="D872" s="92"/>
      <c r="E872" s="91"/>
    </row>
    <row r="873" spans="1:5" x14ac:dyDescent="0.35">
      <c r="A873" s="90"/>
      <c r="B873" s="91"/>
      <c r="C873" s="91"/>
      <c r="D873" s="92"/>
      <c r="E873" s="91"/>
    </row>
    <row r="874" spans="1:5" x14ac:dyDescent="0.35">
      <c r="A874" s="90"/>
      <c r="B874" s="91"/>
      <c r="C874" s="91"/>
      <c r="D874" s="92"/>
      <c r="E874" s="91"/>
    </row>
    <row r="875" spans="1:5" x14ac:dyDescent="0.35">
      <c r="A875" s="90"/>
      <c r="B875" s="91"/>
      <c r="C875" s="91"/>
      <c r="D875" s="92"/>
      <c r="E875" s="91"/>
    </row>
    <row r="876" spans="1:5" x14ac:dyDescent="0.35">
      <c r="A876" s="90"/>
      <c r="B876" s="91"/>
      <c r="C876" s="91"/>
      <c r="D876" s="92"/>
      <c r="E876" s="91"/>
    </row>
    <row r="877" spans="1:5" x14ac:dyDescent="0.35">
      <c r="A877" s="90"/>
      <c r="B877" s="91"/>
      <c r="C877" s="91"/>
      <c r="D877" s="92"/>
      <c r="E877" s="91"/>
    </row>
    <row r="878" spans="1:5" x14ac:dyDescent="0.35">
      <c r="A878" s="90"/>
      <c r="B878" s="91"/>
      <c r="C878" s="91"/>
      <c r="D878" s="92"/>
      <c r="E878" s="91"/>
    </row>
    <row r="879" spans="1:5" x14ac:dyDescent="0.35">
      <c r="A879" s="90"/>
      <c r="B879" s="91"/>
      <c r="C879" s="91"/>
      <c r="D879" s="92"/>
      <c r="E879" s="91"/>
    </row>
    <row r="880" spans="1:5" x14ac:dyDescent="0.35">
      <c r="A880" s="90"/>
      <c r="B880" s="91"/>
      <c r="C880" s="91"/>
      <c r="D880" s="92"/>
      <c r="E880" s="91"/>
    </row>
    <row r="881" spans="1:5" x14ac:dyDescent="0.35">
      <c r="A881" s="90"/>
      <c r="B881" s="91"/>
      <c r="C881" s="91"/>
      <c r="D881" s="92"/>
      <c r="E881" s="91"/>
    </row>
    <row r="882" spans="1:5" x14ac:dyDescent="0.35">
      <c r="A882" s="90"/>
      <c r="B882" s="91"/>
      <c r="C882" s="91"/>
      <c r="D882" s="92"/>
      <c r="E882" s="91"/>
    </row>
    <row r="883" spans="1:5" x14ac:dyDescent="0.35">
      <c r="A883" s="90"/>
      <c r="B883" s="91"/>
      <c r="C883" s="91"/>
      <c r="D883" s="92"/>
      <c r="E883" s="91"/>
    </row>
    <row r="884" spans="1:5" x14ac:dyDescent="0.35">
      <c r="A884" s="90"/>
      <c r="B884" s="91"/>
      <c r="C884" s="91"/>
      <c r="D884" s="92"/>
      <c r="E884" s="91"/>
    </row>
    <row r="885" spans="1:5" x14ac:dyDescent="0.35">
      <c r="A885" s="90"/>
      <c r="B885" s="91"/>
      <c r="C885" s="91"/>
      <c r="D885" s="92"/>
      <c r="E885" s="91"/>
    </row>
    <row r="886" spans="1:5" x14ac:dyDescent="0.35">
      <c r="A886" s="90"/>
      <c r="B886" s="91"/>
      <c r="C886" s="91"/>
      <c r="D886" s="92"/>
      <c r="E886" s="91"/>
    </row>
    <row r="887" spans="1:5" x14ac:dyDescent="0.35">
      <c r="A887" s="90"/>
      <c r="B887" s="91"/>
      <c r="C887" s="91"/>
      <c r="D887" s="92"/>
      <c r="E887" s="91"/>
    </row>
    <row r="888" spans="1:5" x14ac:dyDescent="0.35">
      <c r="A888" s="90"/>
      <c r="B888" s="91"/>
      <c r="C888" s="91"/>
      <c r="D888" s="92"/>
      <c r="E888" s="91"/>
    </row>
    <row r="889" spans="1:5" x14ac:dyDescent="0.35">
      <c r="A889" s="90"/>
      <c r="B889" s="91"/>
      <c r="C889" s="91"/>
      <c r="D889" s="92"/>
      <c r="E889" s="91"/>
    </row>
    <row r="890" spans="1:5" x14ac:dyDescent="0.35">
      <c r="A890" s="90"/>
      <c r="B890" s="91"/>
      <c r="C890" s="91"/>
      <c r="D890" s="92"/>
      <c r="E890" s="91"/>
    </row>
    <row r="891" spans="1:5" x14ac:dyDescent="0.35">
      <c r="A891" s="90"/>
      <c r="B891" s="91"/>
      <c r="C891" s="91"/>
      <c r="D891" s="92"/>
      <c r="E891" s="91"/>
    </row>
    <row r="892" spans="1:5" x14ac:dyDescent="0.35">
      <c r="A892" s="90"/>
      <c r="B892" s="91"/>
      <c r="C892" s="91"/>
      <c r="D892" s="92"/>
      <c r="E892" s="91"/>
    </row>
    <row r="893" spans="1:5" x14ac:dyDescent="0.35">
      <c r="A893" s="90"/>
      <c r="B893" s="91"/>
      <c r="C893" s="91"/>
      <c r="D893" s="92"/>
      <c r="E893" s="91"/>
    </row>
    <row r="894" spans="1:5" x14ac:dyDescent="0.35">
      <c r="A894" s="90"/>
      <c r="B894" s="91"/>
      <c r="C894" s="91"/>
      <c r="D894" s="92"/>
      <c r="E894" s="91"/>
    </row>
    <row r="895" spans="1:5" x14ac:dyDescent="0.35">
      <c r="A895" s="90"/>
      <c r="B895" s="91"/>
      <c r="C895" s="91"/>
      <c r="D895" s="92"/>
      <c r="E895" s="91"/>
    </row>
    <row r="896" spans="1:5" x14ac:dyDescent="0.35">
      <c r="A896" s="90"/>
      <c r="B896" s="91"/>
      <c r="C896" s="91"/>
      <c r="D896" s="92"/>
      <c r="E896" s="91"/>
    </row>
    <row r="897" spans="1:5" x14ac:dyDescent="0.35">
      <c r="A897" s="90"/>
      <c r="B897" s="91"/>
      <c r="C897" s="91"/>
      <c r="D897" s="92"/>
      <c r="E897" s="91"/>
    </row>
    <row r="898" spans="1:5" x14ac:dyDescent="0.35">
      <c r="A898" s="90"/>
      <c r="B898" s="91"/>
      <c r="C898" s="91"/>
      <c r="D898" s="92"/>
      <c r="E898" s="91"/>
    </row>
    <row r="899" spans="1:5" x14ac:dyDescent="0.35">
      <c r="A899" s="90"/>
      <c r="B899" s="91"/>
      <c r="C899" s="91"/>
      <c r="D899" s="92"/>
      <c r="E899" s="91"/>
    </row>
    <row r="900" spans="1:5" x14ac:dyDescent="0.35">
      <c r="A900" s="90"/>
      <c r="B900" s="91"/>
      <c r="C900" s="91"/>
      <c r="D900" s="92"/>
      <c r="E900" s="91"/>
    </row>
    <row r="901" spans="1:5" x14ac:dyDescent="0.35">
      <c r="A901" s="90"/>
      <c r="B901" s="91"/>
      <c r="C901" s="91"/>
      <c r="D901" s="92"/>
      <c r="E901" s="91"/>
    </row>
    <row r="902" spans="1:5" x14ac:dyDescent="0.35">
      <c r="A902" s="90"/>
      <c r="B902" s="91"/>
      <c r="C902" s="91"/>
      <c r="D902" s="92"/>
      <c r="E902" s="91"/>
    </row>
    <row r="903" spans="1:5" x14ac:dyDescent="0.35">
      <c r="A903" s="90"/>
      <c r="B903" s="91"/>
      <c r="C903" s="91"/>
      <c r="D903" s="92"/>
      <c r="E903" s="91"/>
    </row>
    <row r="904" spans="1:5" x14ac:dyDescent="0.35">
      <c r="A904" s="90"/>
      <c r="B904" s="91"/>
      <c r="C904" s="91"/>
      <c r="D904" s="92"/>
      <c r="E904" s="91"/>
    </row>
    <row r="905" spans="1:5" x14ac:dyDescent="0.35">
      <c r="A905" s="90"/>
      <c r="B905" s="91"/>
      <c r="C905" s="91"/>
      <c r="D905" s="92"/>
      <c r="E905" s="91"/>
    </row>
    <row r="906" spans="1:5" x14ac:dyDescent="0.35">
      <c r="A906" s="90"/>
      <c r="B906" s="91"/>
      <c r="C906" s="91"/>
      <c r="D906" s="92"/>
      <c r="E906" s="91"/>
    </row>
    <row r="907" spans="1:5" x14ac:dyDescent="0.35">
      <c r="A907" s="90"/>
      <c r="B907" s="91"/>
      <c r="C907" s="91"/>
      <c r="D907" s="92"/>
      <c r="E907" s="91"/>
    </row>
    <row r="908" spans="1:5" x14ac:dyDescent="0.35">
      <c r="A908" s="90"/>
      <c r="B908" s="91"/>
      <c r="C908" s="91"/>
      <c r="D908" s="92"/>
      <c r="E908" s="91"/>
    </row>
    <row r="909" spans="1:5" x14ac:dyDescent="0.35">
      <c r="A909" s="90"/>
      <c r="B909" s="91"/>
      <c r="C909" s="91"/>
      <c r="D909" s="92"/>
      <c r="E909" s="91"/>
    </row>
    <row r="910" spans="1:5" x14ac:dyDescent="0.35">
      <c r="A910" s="90"/>
      <c r="B910" s="91"/>
      <c r="C910" s="91"/>
      <c r="D910" s="92"/>
      <c r="E910" s="91"/>
    </row>
    <row r="911" spans="1:5" x14ac:dyDescent="0.35">
      <c r="A911" s="90"/>
      <c r="B911" s="91"/>
      <c r="C911" s="91"/>
      <c r="D911" s="92"/>
      <c r="E911" s="91"/>
    </row>
    <row r="912" spans="1:5" x14ac:dyDescent="0.35">
      <c r="A912" s="90"/>
      <c r="B912" s="91"/>
      <c r="C912" s="91"/>
      <c r="D912" s="92"/>
      <c r="E912" s="91"/>
    </row>
    <row r="913" spans="1:5" x14ac:dyDescent="0.35">
      <c r="A913" s="90"/>
      <c r="B913" s="91"/>
      <c r="C913" s="91"/>
      <c r="D913" s="92"/>
      <c r="E913" s="91"/>
    </row>
    <row r="914" spans="1:5" x14ac:dyDescent="0.35">
      <c r="A914" s="90"/>
      <c r="B914" s="91"/>
      <c r="C914" s="91"/>
      <c r="D914" s="92"/>
      <c r="E914" s="91"/>
    </row>
    <row r="915" spans="1:5" x14ac:dyDescent="0.35">
      <c r="A915" s="90"/>
      <c r="B915" s="91"/>
      <c r="C915" s="91"/>
      <c r="D915" s="92"/>
      <c r="E915" s="91"/>
    </row>
    <row r="916" spans="1:5" x14ac:dyDescent="0.35">
      <c r="A916" s="90"/>
      <c r="B916" s="91"/>
      <c r="C916" s="91"/>
      <c r="D916" s="92"/>
      <c r="E916" s="91"/>
    </row>
    <row r="917" spans="1:5" x14ac:dyDescent="0.35">
      <c r="A917" s="90"/>
      <c r="B917" s="91"/>
      <c r="C917" s="91"/>
      <c r="D917" s="92"/>
      <c r="E917" s="91"/>
    </row>
    <row r="918" spans="1:5" x14ac:dyDescent="0.35">
      <c r="A918" s="90"/>
      <c r="B918" s="91"/>
      <c r="C918" s="91"/>
      <c r="D918" s="92"/>
      <c r="E918" s="91"/>
    </row>
    <row r="919" spans="1:5" x14ac:dyDescent="0.35">
      <c r="A919" s="90"/>
      <c r="B919" s="91"/>
      <c r="C919" s="91"/>
      <c r="D919" s="92"/>
      <c r="E919" s="91"/>
    </row>
    <row r="920" spans="1:5" x14ac:dyDescent="0.35">
      <c r="A920" s="90"/>
      <c r="B920" s="91"/>
      <c r="C920" s="91"/>
      <c r="D920" s="92"/>
      <c r="E920" s="91"/>
    </row>
    <row r="921" spans="1:5" x14ac:dyDescent="0.35">
      <c r="A921" s="90"/>
      <c r="B921" s="91"/>
      <c r="C921" s="91"/>
      <c r="D921" s="92"/>
      <c r="E921" s="91"/>
    </row>
    <row r="922" spans="1:5" x14ac:dyDescent="0.35">
      <c r="A922" s="90"/>
      <c r="B922" s="91"/>
      <c r="C922" s="91"/>
      <c r="D922" s="92"/>
      <c r="E922" s="91"/>
    </row>
    <row r="923" spans="1:5" x14ac:dyDescent="0.35">
      <c r="A923" s="90"/>
      <c r="B923" s="91"/>
      <c r="C923" s="91"/>
      <c r="D923" s="92"/>
      <c r="E923" s="91"/>
    </row>
    <row r="924" spans="1:5" x14ac:dyDescent="0.35">
      <c r="A924" s="90"/>
      <c r="B924" s="91"/>
      <c r="C924" s="91"/>
      <c r="D924" s="92"/>
      <c r="E924" s="91"/>
    </row>
    <row r="925" spans="1:5" x14ac:dyDescent="0.35">
      <c r="A925" s="90"/>
      <c r="B925" s="91"/>
      <c r="C925" s="91"/>
      <c r="D925" s="92"/>
      <c r="E925" s="91"/>
    </row>
    <row r="926" spans="1:5" x14ac:dyDescent="0.35">
      <c r="A926" s="90"/>
      <c r="B926" s="91"/>
      <c r="C926" s="91"/>
      <c r="D926" s="92"/>
      <c r="E926" s="91"/>
    </row>
    <row r="927" spans="1:5" x14ac:dyDescent="0.35">
      <c r="A927" s="90"/>
      <c r="B927" s="91"/>
      <c r="C927" s="91"/>
      <c r="D927" s="92"/>
      <c r="E927" s="91"/>
    </row>
    <row r="928" spans="1:5" x14ac:dyDescent="0.35">
      <c r="A928" s="90"/>
      <c r="B928" s="91"/>
      <c r="C928" s="91"/>
      <c r="D928" s="92"/>
      <c r="E928" s="91"/>
    </row>
    <row r="929" spans="1:5" x14ac:dyDescent="0.35">
      <c r="A929" s="90"/>
      <c r="B929" s="91"/>
      <c r="C929" s="91"/>
      <c r="D929" s="92"/>
      <c r="E929" s="91"/>
    </row>
    <row r="930" spans="1:5" x14ac:dyDescent="0.35">
      <c r="A930" s="90"/>
      <c r="B930" s="91"/>
      <c r="C930" s="91"/>
      <c r="D930" s="92"/>
      <c r="E930" s="91"/>
    </row>
    <row r="931" spans="1:5" x14ac:dyDescent="0.35">
      <c r="A931" s="90"/>
      <c r="B931" s="91"/>
      <c r="C931" s="91"/>
      <c r="D931" s="92"/>
      <c r="E931" s="91"/>
    </row>
    <row r="932" spans="1:5" x14ac:dyDescent="0.35">
      <c r="A932" s="90"/>
      <c r="B932" s="91"/>
      <c r="C932" s="91"/>
      <c r="D932" s="92"/>
      <c r="E932" s="91"/>
    </row>
    <row r="933" spans="1:5" x14ac:dyDescent="0.35">
      <c r="A933" s="90"/>
      <c r="B933" s="91"/>
      <c r="C933" s="91"/>
      <c r="D933" s="92"/>
      <c r="E933" s="91"/>
    </row>
    <row r="934" spans="1:5" x14ac:dyDescent="0.35">
      <c r="A934" s="90"/>
      <c r="B934" s="91"/>
      <c r="C934" s="91"/>
      <c r="D934" s="92"/>
      <c r="E934" s="91"/>
    </row>
    <row r="935" spans="1:5" x14ac:dyDescent="0.35">
      <c r="A935" s="90"/>
      <c r="B935" s="91"/>
      <c r="C935" s="91"/>
      <c r="D935" s="92"/>
      <c r="E935" s="91"/>
    </row>
    <row r="936" spans="1:5" x14ac:dyDescent="0.35">
      <c r="A936" s="90"/>
      <c r="B936" s="91"/>
      <c r="C936" s="91"/>
      <c r="D936" s="92"/>
      <c r="E936" s="91"/>
    </row>
    <row r="937" spans="1:5" x14ac:dyDescent="0.35">
      <c r="A937" s="90"/>
      <c r="B937" s="91"/>
      <c r="C937" s="91"/>
      <c r="D937" s="92"/>
      <c r="E937" s="91"/>
    </row>
    <row r="938" spans="1:5" x14ac:dyDescent="0.35">
      <c r="A938" s="90"/>
      <c r="B938" s="91"/>
      <c r="C938" s="91"/>
      <c r="D938" s="92"/>
      <c r="E938" s="91"/>
    </row>
    <row r="939" spans="1:5" x14ac:dyDescent="0.35">
      <c r="A939" s="90"/>
      <c r="B939" s="91"/>
      <c r="C939" s="91"/>
      <c r="D939" s="92"/>
      <c r="E939" s="91"/>
    </row>
    <row r="940" spans="1:5" x14ac:dyDescent="0.35">
      <c r="A940" s="90"/>
      <c r="B940" s="91"/>
      <c r="C940" s="91"/>
      <c r="D940" s="92"/>
      <c r="E940" s="91"/>
    </row>
    <row r="941" spans="1:5" x14ac:dyDescent="0.35">
      <c r="A941" s="90"/>
      <c r="B941" s="91"/>
      <c r="C941" s="91"/>
      <c r="D941" s="92"/>
      <c r="E941" s="91"/>
    </row>
    <row r="942" spans="1:5" x14ac:dyDescent="0.35">
      <c r="A942" s="90"/>
      <c r="B942" s="91"/>
      <c r="C942" s="91"/>
      <c r="D942" s="92"/>
      <c r="E942" s="91"/>
    </row>
    <row r="943" spans="1:5" x14ac:dyDescent="0.35">
      <c r="A943" s="90"/>
      <c r="B943" s="91"/>
      <c r="C943" s="91"/>
      <c r="D943" s="92"/>
      <c r="E943" s="91"/>
    </row>
    <row r="944" spans="1:5" x14ac:dyDescent="0.35">
      <c r="A944" s="90"/>
      <c r="B944" s="91"/>
      <c r="C944" s="91"/>
      <c r="D944" s="92"/>
      <c r="E944" s="91"/>
    </row>
    <row r="945" spans="1:5" x14ac:dyDescent="0.35">
      <c r="A945" s="90"/>
      <c r="B945" s="91"/>
      <c r="C945" s="91"/>
      <c r="D945" s="92"/>
      <c r="E945" s="91"/>
    </row>
    <row r="946" spans="1:5" x14ac:dyDescent="0.35">
      <c r="A946" s="90"/>
      <c r="B946" s="91"/>
      <c r="C946" s="91"/>
      <c r="D946" s="92"/>
      <c r="E946" s="91"/>
    </row>
    <row r="947" spans="1:5" x14ac:dyDescent="0.35">
      <c r="A947" s="90"/>
      <c r="B947" s="91"/>
      <c r="C947" s="91"/>
      <c r="D947" s="92"/>
      <c r="E947" s="91"/>
    </row>
    <row r="948" spans="1:5" x14ac:dyDescent="0.35">
      <c r="A948" s="90"/>
      <c r="B948" s="91"/>
      <c r="C948" s="91"/>
      <c r="D948" s="92"/>
      <c r="E948" s="91"/>
    </row>
    <row r="949" spans="1:5" x14ac:dyDescent="0.35">
      <c r="A949" s="90"/>
      <c r="B949" s="91"/>
      <c r="C949" s="91"/>
      <c r="D949" s="92"/>
      <c r="E949" s="91"/>
    </row>
    <row r="950" spans="1:5" x14ac:dyDescent="0.35">
      <c r="A950" s="90"/>
      <c r="B950" s="91"/>
      <c r="C950" s="91"/>
      <c r="D950" s="92"/>
      <c r="E950" s="91"/>
    </row>
    <row r="951" spans="1:5" x14ac:dyDescent="0.35">
      <c r="A951" s="90"/>
      <c r="B951" s="91"/>
      <c r="C951" s="91"/>
      <c r="D951" s="92"/>
      <c r="E951" s="91"/>
    </row>
    <row r="952" spans="1:5" x14ac:dyDescent="0.35">
      <c r="A952" s="90"/>
      <c r="B952" s="91"/>
      <c r="C952" s="91"/>
      <c r="D952" s="92"/>
      <c r="E952" s="91"/>
    </row>
    <row r="953" spans="1:5" x14ac:dyDescent="0.35">
      <c r="A953" s="90"/>
      <c r="B953" s="91"/>
      <c r="C953" s="91"/>
      <c r="D953" s="92"/>
      <c r="E953" s="91"/>
    </row>
    <row r="954" spans="1:5" x14ac:dyDescent="0.35">
      <c r="A954" s="90"/>
      <c r="B954" s="91"/>
      <c r="C954" s="91"/>
      <c r="D954" s="92"/>
      <c r="E954" s="91"/>
    </row>
    <row r="955" spans="1:5" x14ac:dyDescent="0.35">
      <c r="A955" s="90"/>
      <c r="B955" s="91"/>
      <c r="C955" s="91"/>
      <c r="D955" s="92"/>
      <c r="E955" s="91"/>
    </row>
    <row r="956" spans="1:5" x14ac:dyDescent="0.35">
      <c r="A956" s="90"/>
      <c r="B956" s="91"/>
      <c r="C956" s="91"/>
      <c r="D956" s="92"/>
      <c r="E956" s="91"/>
    </row>
    <row r="957" spans="1:5" x14ac:dyDescent="0.35">
      <c r="A957" s="90"/>
      <c r="B957" s="91"/>
      <c r="C957" s="91"/>
      <c r="D957" s="92"/>
      <c r="E957" s="91"/>
    </row>
    <row r="958" spans="1:5" x14ac:dyDescent="0.35">
      <c r="A958" s="90"/>
      <c r="B958" s="91"/>
      <c r="C958" s="91"/>
      <c r="D958" s="92"/>
      <c r="E958" s="91"/>
    </row>
    <row r="959" spans="1:5" x14ac:dyDescent="0.35">
      <c r="A959" s="90"/>
      <c r="B959" s="91"/>
      <c r="C959" s="91"/>
      <c r="D959" s="92"/>
      <c r="E959" s="91"/>
    </row>
    <row r="960" spans="1:5" x14ac:dyDescent="0.35">
      <c r="A960" s="90"/>
      <c r="B960" s="91"/>
      <c r="C960" s="91"/>
      <c r="D960" s="92"/>
      <c r="E960" s="91"/>
    </row>
    <row r="961" spans="1:5" x14ac:dyDescent="0.35">
      <c r="A961" s="90"/>
      <c r="B961" s="91"/>
      <c r="C961" s="91"/>
      <c r="D961" s="92"/>
      <c r="E961" s="91"/>
    </row>
    <row r="962" spans="1:5" x14ac:dyDescent="0.35">
      <c r="A962" s="90"/>
      <c r="B962" s="91"/>
      <c r="C962" s="91"/>
      <c r="D962" s="92"/>
      <c r="E962" s="91"/>
    </row>
    <row r="963" spans="1:5" x14ac:dyDescent="0.35">
      <c r="A963" s="90"/>
      <c r="B963" s="91"/>
      <c r="C963" s="91"/>
      <c r="D963" s="92"/>
      <c r="E963" s="91"/>
    </row>
    <row r="964" spans="1:5" x14ac:dyDescent="0.35">
      <c r="A964" s="90"/>
      <c r="B964" s="91"/>
      <c r="C964" s="91"/>
      <c r="D964" s="92"/>
      <c r="E964" s="91"/>
    </row>
    <row r="965" spans="1:5" x14ac:dyDescent="0.35">
      <c r="A965" s="90"/>
      <c r="B965" s="91"/>
      <c r="C965" s="91"/>
      <c r="D965" s="92"/>
      <c r="E965" s="91"/>
    </row>
    <row r="966" spans="1:5" x14ac:dyDescent="0.35">
      <c r="A966" s="90"/>
      <c r="B966" s="91"/>
      <c r="C966" s="91"/>
      <c r="D966" s="92"/>
      <c r="E966" s="91"/>
    </row>
    <row r="967" spans="1:5" x14ac:dyDescent="0.35">
      <c r="A967" s="90"/>
      <c r="B967" s="91"/>
      <c r="C967" s="91"/>
      <c r="D967" s="92"/>
      <c r="E967" s="91"/>
    </row>
    <row r="968" spans="1:5" x14ac:dyDescent="0.35">
      <c r="A968" s="90"/>
      <c r="B968" s="91"/>
      <c r="C968" s="91"/>
      <c r="D968" s="92"/>
      <c r="E968" s="91"/>
    </row>
    <row r="969" spans="1:5" x14ac:dyDescent="0.35">
      <c r="A969" s="90"/>
      <c r="B969" s="91"/>
      <c r="C969" s="91"/>
      <c r="D969" s="92"/>
      <c r="E969" s="91"/>
    </row>
    <row r="970" spans="1:5" x14ac:dyDescent="0.35">
      <c r="A970" s="90"/>
      <c r="B970" s="91"/>
      <c r="C970" s="91"/>
      <c r="D970" s="92"/>
      <c r="E970" s="91"/>
    </row>
    <row r="971" spans="1:5" x14ac:dyDescent="0.35">
      <c r="A971" s="90"/>
      <c r="B971" s="91"/>
      <c r="C971" s="91"/>
      <c r="D971" s="92"/>
      <c r="E971" s="91"/>
    </row>
    <row r="972" spans="1:5" x14ac:dyDescent="0.35">
      <c r="A972" s="90"/>
      <c r="B972" s="91"/>
      <c r="C972" s="91"/>
      <c r="D972" s="92"/>
      <c r="E972" s="91"/>
    </row>
    <row r="973" spans="1:5" x14ac:dyDescent="0.35">
      <c r="A973" s="90"/>
      <c r="B973" s="91"/>
      <c r="C973" s="91"/>
      <c r="D973" s="92"/>
      <c r="E973" s="91"/>
    </row>
    <row r="974" spans="1:5" x14ac:dyDescent="0.35">
      <c r="A974" s="90"/>
      <c r="B974" s="91"/>
      <c r="C974" s="91"/>
      <c r="D974" s="92"/>
      <c r="E974" s="91"/>
    </row>
    <row r="975" spans="1:5" x14ac:dyDescent="0.35">
      <c r="A975" s="90"/>
      <c r="B975" s="91"/>
      <c r="C975" s="91"/>
      <c r="D975" s="92"/>
      <c r="E975" s="91"/>
    </row>
    <row r="976" spans="1:5" x14ac:dyDescent="0.35">
      <c r="A976" s="90"/>
      <c r="B976" s="91"/>
      <c r="C976" s="91"/>
      <c r="D976" s="92"/>
      <c r="E976" s="91"/>
    </row>
    <row r="977" spans="1:5" x14ac:dyDescent="0.35">
      <c r="A977" s="90"/>
      <c r="B977" s="91"/>
      <c r="C977" s="91"/>
      <c r="D977" s="92"/>
      <c r="E977" s="91"/>
    </row>
    <row r="978" spans="1:5" x14ac:dyDescent="0.35">
      <c r="A978" s="90"/>
      <c r="B978" s="91"/>
      <c r="C978" s="91"/>
      <c r="D978" s="92"/>
      <c r="E978" s="91"/>
    </row>
    <row r="979" spans="1:5" x14ac:dyDescent="0.35">
      <c r="A979" s="90"/>
      <c r="B979" s="91"/>
      <c r="C979" s="91"/>
      <c r="D979" s="92"/>
      <c r="E979" s="91"/>
    </row>
    <row r="980" spans="1:5" x14ac:dyDescent="0.35">
      <c r="A980" s="90"/>
      <c r="B980" s="91"/>
      <c r="C980" s="91"/>
      <c r="D980" s="92"/>
      <c r="E980" s="91"/>
    </row>
    <row r="981" spans="1:5" x14ac:dyDescent="0.35">
      <c r="A981" s="90"/>
      <c r="B981" s="91"/>
      <c r="C981" s="91"/>
      <c r="D981" s="92"/>
      <c r="E981" s="91"/>
    </row>
    <row r="982" spans="1:5" x14ac:dyDescent="0.35">
      <c r="A982" s="90"/>
      <c r="B982" s="91"/>
      <c r="C982" s="91"/>
      <c r="D982" s="92"/>
      <c r="E982" s="91"/>
    </row>
    <row r="983" spans="1:5" x14ac:dyDescent="0.35">
      <c r="A983" s="90"/>
      <c r="B983" s="91"/>
      <c r="C983" s="91"/>
      <c r="D983" s="92"/>
      <c r="E983" s="91"/>
    </row>
    <row r="984" spans="1:5" x14ac:dyDescent="0.35">
      <c r="A984" s="90"/>
      <c r="B984" s="91"/>
      <c r="C984" s="91"/>
      <c r="D984" s="92"/>
      <c r="E984" s="91"/>
    </row>
    <row r="985" spans="1:5" x14ac:dyDescent="0.35">
      <c r="A985" s="90"/>
      <c r="B985" s="91"/>
      <c r="C985" s="91"/>
      <c r="D985" s="92"/>
      <c r="E985" s="91"/>
    </row>
    <row r="986" spans="1:5" x14ac:dyDescent="0.35">
      <c r="A986" s="90"/>
      <c r="B986" s="91"/>
      <c r="C986" s="91"/>
      <c r="D986" s="92"/>
      <c r="E986" s="91"/>
    </row>
    <row r="987" spans="1:5" x14ac:dyDescent="0.35">
      <c r="A987" s="90"/>
      <c r="B987" s="91"/>
      <c r="C987" s="91"/>
      <c r="D987" s="92"/>
      <c r="E987" s="91"/>
    </row>
    <row r="988" spans="1:5" x14ac:dyDescent="0.35">
      <c r="A988" s="90"/>
      <c r="B988" s="91"/>
      <c r="C988" s="91"/>
      <c r="D988" s="92"/>
      <c r="E988" s="91"/>
    </row>
    <row r="989" spans="1:5" x14ac:dyDescent="0.35">
      <c r="A989" s="90"/>
      <c r="B989" s="91"/>
      <c r="C989" s="91"/>
      <c r="D989" s="92"/>
      <c r="E989" s="91"/>
    </row>
    <row r="990" spans="1:5" x14ac:dyDescent="0.35">
      <c r="A990" s="90"/>
      <c r="B990" s="91"/>
      <c r="C990" s="91"/>
      <c r="D990" s="92"/>
      <c r="E990" s="91"/>
    </row>
    <row r="991" spans="1:5" x14ac:dyDescent="0.35">
      <c r="A991" s="90"/>
      <c r="B991" s="91"/>
      <c r="C991" s="91"/>
      <c r="D991" s="92"/>
      <c r="E991" s="91"/>
    </row>
    <row r="992" spans="1:5" x14ac:dyDescent="0.35">
      <c r="A992" s="90"/>
      <c r="B992" s="91"/>
      <c r="C992" s="91"/>
      <c r="D992" s="92"/>
      <c r="E992" s="91"/>
    </row>
    <row r="993" spans="1:5" x14ac:dyDescent="0.35">
      <c r="A993" s="90"/>
      <c r="B993" s="91"/>
      <c r="C993" s="91"/>
      <c r="D993" s="92"/>
      <c r="E993" s="91"/>
    </row>
    <row r="994" spans="1:5" x14ac:dyDescent="0.35">
      <c r="A994" s="90"/>
      <c r="B994" s="91"/>
      <c r="C994" s="91"/>
      <c r="D994" s="92"/>
      <c r="E994" s="91"/>
    </row>
    <row r="995" spans="1:5" x14ac:dyDescent="0.35">
      <c r="A995" s="90"/>
      <c r="B995" s="91"/>
      <c r="C995" s="91"/>
      <c r="D995" s="92"/>
      <c r="E995" s="91"/>
    </row>
    <row r="996" spans="1:5" x14ac:dyDescent="0.35">
      <c r="A996" s="90"/>
      <c r="B996" s="91"/>
      <c r="C996" s="91"/>
      <c r="D996" s="92"/>
      <c r="E996" s="91"/>
    </row>
    <row r="997" spans="1:5" x14ac:dyDescent="0.35">
      <c r="A997" s="90"/>
      <c r="B997" s="91"/>
      <c r="C997" s="91"/>
      <c r="D997" s="92"/>
      <c r="E997" s="91"/>
    </row>
    <row r="998" spans="1:5" x14ac:dyDescent="0.35">
      <c r="A998" s="90"/>
      <c r="B998" s="91"/>
      <c r="C998" s="91"/>
      <c r="D998" s="92"/>
      <c r="E998" s="91"/>
    </row>
    <row r="999" spans="1:5" x14ac:dyDescent="0.35">
      <c r="A999" s="90"/>
      <c r="B999" s="91"/>
      <c r="C999" s="91"/>
      <c r="D999" s="92"/>
      <c r="E999" s="91"/>
    </row>
    <row r="1000" spans="1:5" x14ac:dyDescent="0.35">
      <c r="A1000" s="90"/>
      <c r="B1000" s="91"/>
      <c r="C1000" s="91"/>
      <c r="D1000" s="92"/>
      <c r="E1000" s="91"/>
    </row>
  </sheetData>
  <conditionalFormatting sqref="A2:E1000">
    <cfRule type="expression" dxfId="0" priority="1">
      <formula>MOD(ROW($A2),2)=0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5470-D981-46DF-BAC9-CEA8FE98CC1D}">
  <dimension ref="A1:B1"/>
  <sheetViews>
    <sheetView workbookViewId="0">
      <selection activeCell="G11" sqref="G11"/>
    </sheetView>
  </sheetViews>
  <sheetFormatPr defaultRowHeight="14.5" x14ac:dyDescent="0.35"/>
  <cols>
    <col min="2" max="2" width="10.453125" bestFit="1" customWidth="1"/>
  </cols>
  <sheetData>
    <row r="1" spans="1:2" x14ac:dyDescent="0.35">
      <c r="A1" t="s">
        <v>224</v>
      </c>
      <c r="B1" s="93">
        <f ca="1">+TODAY()</f>
        <v>46211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Inventory</vt:lpstr>
      <vt:lpstr>Wishlist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Luiz Felipe Ranoya Santos</cp:lastModifiedBy>
  <cp:revision>1</cp:revision>
  <dcterms:created xsi:type="dcterms:W3CDTF">2025-12-30T03:11:08Z</dcterms:created>
  <dcterms:modified xsi:type="dcterms:W3CDTF">2026-07-08T04:02:01Z</dcterms:modified>
  <dc:language>en-US</dc:language>
</cp:coreProperties>
</file>