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DED1EFE5-FFB9-4418-A7C3-0B7729C0018A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<sst xmlns="http://schemas.openxmlformats.org/spreadsheetml/2006/main" count="620" uniqueCount="202">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</sst>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137</v>
      </c>
      <c r="C5" s="87"/>
      <c r="D5" s="88">
        <f>COUNTIF(Inventory!H2:H1000,"YES")</f>
        <v>66</v>
      </c>
      <c r="E5" s="88"/>
      <c r="F5" s="89">
        <f>COUNTIF(Inventory!H2:H1000,"NO")</f>
        <v>71</v>
      </c>
      <c r="G5" s="89"/>
      <c r="H5" s="90">
        <f ca="1">COUNTIF(Inventory!I2:I1000,"Not Retired")</f>
        <v>74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179966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103926</v>
      </c>
      <c r="G6" s="86"/>
      <c r="H6" s="86">
        <f ca="1">SUMIFS(Inventory!E2:E1000,Inventory!I2:I1000,"Not Retired")</f>
        <v>113190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71</v>
      </c>
      <c r="L36" s="120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3">
        <f ca="1">K36+K37</f>
        <v>137</v>
      </c>
      <c r="L38" s="124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3" sqref="B3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46189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2026-06-16T23:10:22Z</dcterms:modified>
  <dc:language>en-US</dc:language>
</cp:coreProperties>
</file>