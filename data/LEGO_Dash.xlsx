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fran\OneDrive\Desktop\"/>
    </mc:Choice>
  </mc:AlternateContent>
  <xr:revisionPtr revIDLastSave="0" documentId="13_ncr:1_{8EE9C641-B725-43AC-B827-03EA61732C1D}" xr6:coauthVersionLast="47" xr6:coauthVersionMax="47" xr10:uidLastSave="{00000000-0000-0000-0000-000000000000}"/>
  <bookViews>
    <workbookView xWindow="1460" yWindow="100" windowWidth="22630" windowHeight="20110" tabRatio="500" activeTab="1" xr2:uid="{00000000-000D-0000-FFFF-FFFF00000000}"/>
  </bookViews>
  <sheets>
    <sheet name="Dashboard" sheetId="1" r:id="rId1"/>
    <sheet name="Inventory" sheetId="2" r:id="rId2"/>
    <sheet name="Totals" sheetId="3" r:id="rId3"/>
    <sheet name="Settings" sheetId="4" r:id="rId4"/>
  </sheets>
  <definedNames>
    <definedName name="_xlnm._FilterDatabase" localSheetId="1" hidden="1">Inventory!$A$1:$K$258</definedName>
    <definedName name="Slicer_Built">#N/A</definedName>
    <definedName name="Slicer_Retired">#N/A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1" l="1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L30" i="1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O25" i="1" s="1"/>
  <c r="I92" i="2"/>
  <c r="I91" i="2"/>
  <c r="I90" i="2"/>
  <c r="I89" i="2"/>
  <c r="O28" i="1" s="1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L26" i="1" s="1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N29" i="1" s="1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I2" i="2"/>
  <c r="C56" i="1"/>
  <c r="C55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6" i="1"/>
  <c r="D6" i="1"/>
  <c r="B6" i="1"/>
  <c r="F5" i="1"/>
  <c r="B5" i="1"/>
  <c r="G28" i="1" l="1"/>
  <c r="I28" i="1" s="1"/>
  <c r="M30" i="1"/>
  <c r="G15" i="1"/>
  <c r="I15" i="1" s="1"/>
  <c r="H15" i="1"/>
  <c r="J15" i="1" s="1"/>
  <c r="H16" i="1"/>
  <c r="J16" i="1" s="1"/>
  <c r="H24" i="1"/>
  <c r="J24" i="1" s="1"/>
  <c r="L22" i="1"/>
  <c r="G13" i="1"/>
  <c r="I13" i="1" s="1"/>
  <c r="G17" i="1"/>
  <c r="I17" i="1" s="1"/>
  <c r="G21" i="1"/>
  <c r="I21" i="1" s="1"/>
  <c r="G25" i="1"/>
  <c r="I25" i="1" s="1"/>
  <c r="G29" i="1"/>
  <c r="I29" i="1" s="1"/>
  <c r="H21" i="1"/>
  <c r="J21" i="1" s="1"/>
  <c r="H25" i="1"/>
  <c r="J25" i="1" s="1"/>
  <c r="H23" i="1"/>
  <c r="J23" i="1" s="1"/>
  <c r="H13" i="1"/>
  <c r="J13" i="1" s="1"/>
  <c r="H19" i="1"/>
  <c r="J19" i="1" s="1"/>
  <c r="O20" i="1"/>
  <c r="G19" i="1"/>
  <c r="I19" i="1" s="1"/>
  <c r="H29" i="1"/>
  <c r="J29" i="1" s="1"/>
  <c r="G18" i="1"/>
  <c r="I18" i="1" s="1"/>
  <c r="G22" i="1"/>
  <c r="I22" i="1" s="1"/>
  <c r="G26" i="1"/>
  <c r="I26" i="1" s="1"/>
  <c r="G30" i="1"/>
  <c r="I30" i="1" s="1"/>
  <c r="G14" i="1"/>
  <c r="I14" i="1" s="1"/>
  <c r="O21" i="1"/>
  <c r="G24" i="1"/>
  <c r="I24" i="1" s="1"/>
  <c r="H18" i="1"/>
  <c r="J18" i="1" s="1"/>
  <c r="H22" i="1"/>
  <c r="J22" i="1" s="1"/>
  <c r="H17" i="1"/>
  <c r="J17" i="1" s="1"/>
  <c r="H14" i="1"/>
  <c r="J14" i="1" s="1"/>
  <c r="H26" i="1"/>
  <c r="J26" i="1" s="1"/>
  <c r="H28" i="1"/>
  <c r="J28" i="1" s="1"/>
  <c r="E31" i="1"/>
  <c r="L28" i="1"/>
  <c r="F31" i="1"/>
  <c r="G16" i="1"/>
  <c r="I16" i="1" s="1"/>
  <c r="G23" i="1"/>
  <c r="I23" i="1" s="1"/>
  <c r="H20" i="1"/>
  <c r="J20" i="1" s="1"/>
  <c r="G27" i="1"/>
  <c r="I27" i="1" s="1"/>
  <c r="H30" i="1"/>
  <c r="J30" i="1" s="1"/>
  <c r="G20" i="1"/>
  <c r="I20" i="1" s="1"/>
  <c r="H27" i="1"/>
  <c r="J27" i="1" s="1"/>
  <c r="M28" i="1"/>
  <c r="O17" i="1"/>
  <c r="L25" i="1"/>
  <c r="M25" i="1"/>
  <c r="N25" i="1"/>
  <c r="N28" i="1"/>
  <c r="M20" i="1"/>
  <c r="N21" i="1"/>
  <c r="N20" i="1"/>
  <c r="M26" i="1"/>
  <c r="N26" i="1"/>
  <c r="L21" i="1"/>
  <c r="L17" i="1"/>
  <c r="M21" i="1"/>
  <c r="N17" i="1"/>
  <c r="M13" i="1"/>
  <c r="L24" i="1"/>
  <c r="M16" i="1"/>
  <c r="M24" i="1"/>
  <c r="O26" i="1"/>
  <c r="J37" i="1"/>
  <c r="L18" i="1"/>
  <c r="N13" i="1"/>
  <c r="L29" i="1"/>
  <c r="M17" i="1"/>
  <c r="L20" i="1"/>
  <c r="O14" i="1"/>
  <c r="L13" i="1"/>
  <c r="O13" i="1"/>
  <c r="H5" i="1"/>
  <c r="J5" i="1"/>
  <c r="G37" i="1"/>
  <c r="H37" i="1"/>
  <c r="M14" i="1"/>
  <c r="I37" i="1"/>
  <c r="O27" i="1"/>
  <c r="N27" i="1"/>
  <c r="M27" i="1"/>
  <c r="L27" i="1"/>
  <c r="C31" i="1"/>
  <c r="D31" i="1"/>
  <c r="N14" i="1"/>
  <c r="L16" i="1"/>
  <c r="M18" i="1"/>
  <c r="N30" i="1"/>
  <c r="N19" i="1"/>
  <c r="M19" i="1"/>
  <c r="O19" i="1"/>
  <c r="L19" i="1"/>
  <c r="O18" i="1"/>
  <c r="D48" i="1"/>
  <c r="N22" i="1"/>
  <c r="O29" i="1"/>
  <c r="C48" i="1"/>
  <c r="O24" i="1"/>
  <c r="N24" i="1"/>
  <c r="O30" i="1"/>
  <c r="N18" i="1"/>
  <c r="M29" i="1"/>
  <c r="M22" i="1"/>
  <c r="N23" i="1"/>
  <c r="M23" i="1"/>
  <c r="L23" i="1"/>
  <c r="O23" i="1"/>
  <c r="O22" i="1"/>
  <c r="E56" i="1"/>
  <c r="L14" i="1"/>
  <c r="E55" i="1"/>
  <c r="J36" i="1"/>
  <c r="I36" i="1"/>
  <c r="H6" i="1"/>
  <c r="H36" i="1"/>
  <c r="J6" i="1"/>
  <c r="G36" i="1"/>
  <c r="M15" i="1"/>
  <c r="O15" i="1"/>
  <c r="N15" i="1"/>
  <c r="L15" i="1"/>
  <c r="N16" i="1"/>
  <c r="O16" i="1"/>
  <c r="H31" i="1" l="1"/>
  <c r="J31" i="1" s="1"/>
  <c r="G31" i="1"/>
  <c r="I31" i="1" s="1"/>
  <c r="J38" i="1"/>
  <c r="M37" i="1"/>
  <c r="I38" i="1"/>
  <c r="N31" i="1"/>
  <c r="L31" i="1"/>
  <c r="M31" i="1"/>
  <c r="K37" i="1"/>
  <c r="K36" i="1"/>
  <c r="G38" i="1"/>
  <c r="O31" i="1"/>
  <c r="M36" i="1"/>
  <c r="H38" i="1"/>
  <c r="M38" i="1" l="1"/>
  <c r="K38" i="1"/>
</calcChain>
</file>

<file path=xl/sharedStrings.xml><?xml version="1.0" encoding="utf-8"?>
<sst xmlns="http://schemas.openxmlformats.org/spreadsheetml/2006/main" count="624" uniqueCount="203">
  <si>
    <t>TOTAL SETS</t>
  </si>
  <si>
    <t>BUILT</t>
  </si>
  <si>
    <t>TO BUILD</t>
  </si>
  <si>
    <t>NOT RETIRED</t>
  </si>
  <si>
    <t>RETIRED</t>
  </si>
  <si>
    <t>total bricks owned</t>
  </si>
  <si>
    <t>bricks assembled</t>
  </si>
  <si>
    <t>bricks still in production</t>
  </si>
  <si>
    <t>BUILD PROGRESS BY THEME</t>
  </si>
  <si>
    <t>Built</t>
  </si>
  <si>
    <t>To Build</t>
  </si>
  <si>
    <t>Total</t>
  </si>
  <si>
    <t>Built %</t>
  </si>
  <si>
    <t>Not Retired</t>
  </si>
  <si>
    <t>Retired</t>
  </si>
  <si>
    <t>Sets</t>
  </si>
  <si>
    <t>Bricks</t>
  </si>
  <si>
    <t>% Sets</t>
  </si>
  <si>
    <t>% Bricks</t>
  </si>
  <si>
    <t>Star Wars</t>
  </si>
  <si>
    <t>Architecture</t>
  </si>
  <si>
    <t>Icons</t>
  </si>
  <si>
    <t>Ideas</t>
  </si>
  <si>
    <t>Speed Champions</t>
  </si>
  <si>
    <t>Super Mario</t>
  </si>
  <si>
    <t>Marvel</t>
  </si>
  <si>
    <t>Creator Expert</t>
  </si>
  <si>
    <t>Technic</t>
  </si>
  <si>
    <t>Editions</t>
  </si>
  <si>
    <t>Other</t>
  </si>
  <si>
    <t>Pokemon</t>
  </si>
  <si>
    <t>Disney</t>
  </si>
  <si>
    <t>Jurassic World</t>
  </si>
  <si>
    <t>Botanical Collection</t>
  </si>
  <si>
    <t>Harry Potter</t>
  </si>
  <si>
    <t>Creator</t>
  </si>
  <si>
    <t>DC</t>
  </si>
  <si>
    <t>TOTAL</t>
  </si>
  <si>
    <t>RETIREMENT BY YEAR</t>
  </si>
  <si>
    <t>Year</t>
  </si>
  <si>
    <t>📌  When a new retirement year appears in your inventory, insert a row above 2027+ and type the year — the formulas will pick it up automatically. The 2027+ row always catches everything not yet retired.</t>
  </si>
  <si>
    <t>2027+</t>
  </si>
  <si>
    <t>COLLECTION OVERVIEW MATRIX</t>
  </si>
  <si>
    <t>COLLECTION AT A GLANCE</t>
  </si>
  <si>
    <t>Build Status</t>
  </si>
  <si>
    <t>Retirement</t>
  </si>
  <si>
    <t>#</t>
  </si>
  <si>
    <t>Set Number</t>
  </si>
  <si>
    <t>Set Name</t>
  </si>
  <si>
    <t>Theme</t>
  </si>
  <si>
    <t>Pieces</t>
  </si>
  <si>
    <t>Year Released</t>
  </si>
  <si>
    <t>Year Retired</t>
  </si>
  <si>
    <t>Notre-Dame de Paris</t>
  </si>
  <si>
    <t>-</t>
  </si>
  <si>
    <t>NO</t>
  </si>
  <si>
    <t>Neuschwanstein Castle</t>
  </si>
  <si>
    <t>Himeji Castle</t>
  </si>
  <si>
    <t>Statue of Liberty</t>
  </si>
  <si>
    <t>YES</t>
  </si>
  <si>
    <t>Buckingham Palace</t>
  </si>
  <si>
    <t>Louvre</t>
  </si>
  <si>
    <t>New York City</t>
  </si>
  <si>
    <t>The White House</t>
  </si>
  <si>
    <t>Flatiron Buildiing</t>
  </si>
  <si>
    <t>London</t>
  </si>
  <si>
    <t>Brandenburg Gate</t>
  </si>
  <si>
    <t>Big Ben</t>
  </si>
  <si>
    <t>The Leaning Tower of Pisa</t>
  </si>
  <si>
    <t>Burj Khalifa</t>
  </si>
  <si>
    <t>The Iiffel Tower</t>
  </si>
  <si>
    <t>Berlin</t>
  </si>
  <si>
    <t>Lincoln Memorial</t>
  </si>
  <si>
    <t>Venice</t>
  </si>
  <si>
    <t>Bonsai Tree</t>
  </si>
  <si>
    <t>Playful Puppy Dog</t>
  </si>
  <si>
    <t>Tower Bridge</t>
  </si>
  <si>
    <t>Sydney Opera House</t>
  </si>
  <si>
    <t>The Eiffel Tower</t>
  </si>
  <si>
    <t>Titanic</t>
  </si>
  <si>
    <t>The Endurance</t>
  </si>
  <si>
    <t>Land Rover Classic Defender 90</t>
  </si>
  <si>
    <t>Golden Retreiver Puppy</t>
  </si>
  <si>
    <t>Concorde</t>
  </si>
  <si>
    <t>The Friends Apartment</t>
  </si>
  <si>
    <t>Back to the Future Time Machine</t>
  </si>
  <si>
    <t>Retro Radio</t>
  </si>
  <si>
    <t>Williams Racing FW14B &amp; Nigel Mansel</t>
  </si>
  <si>
    <t>McLaren MP4/4 &amp; Ayrton Senna</t>
  </si>
  <si>
    <t>Typewriter</t>
  </si>
  <si>
    <t>Tuxedo Cat</t>
  </si>
  <si>
    <t>Red London Telephone Box</t>
  </si>
  <si>
    <t>Seinfeld</t>
  </si>
  <si>
    <t>Gremlins: Gizmo</t>
  </si>
  <si>
    <t>Central Perk</t>
  </si>
  <si>
    <t>Disney Pixar Luxo Jr.</t>
  </si>
  <si>
    <t>Dinosaur Fossils: Tyrannosaurus rex</t>
  </si>
  <si>
    <t>Iron Man Mark 3 Collector's Edition</t>
  </si>
  <si>
    <t>Mosaic Maker</t>
  </si>
  <si>
    <t>Family Chistmas Tree</t>
  </si>
  <si>
    <t>Time Machine from Back to the Future</t>
  </si>
  <si>
    <t>Ferrari SF-24 F1 Race Car</t>
  </si>
  <si>
    <t>Millennium Falcon</t>
  </si>
  <si>
    <t>Chewbacca</t>
  </si>
  <si>
    <t>TIE Interceptor</t>
  </si>
  <si>
    <t>Yoda</t>
  </si>
  <si>
    <t>C-3PO</t>
  </si>
  <si>
    <t>The Child</t>
  </si>
  <si>
    <t>Grogu with Hover Pram</t>
  </si>
  <si>
    <t>Wicket the Ewok</t>
  </si>
  <si>
    <t>Darth Vader Helmet</t>
  </si>
  <si>
    <t>AT-AT Driver Helmet</t>
  </si>
  <si>
    <t>Poe's X-Wing Fighter</t>
  </si>
  <si>
    <t>Star Wars Logo</t>
  </si>
  <si>
    <t>Stormtrooper Helmet</t>
  </si>
  <si>
    <t>Boba Fett Helmet</t>
  </si>
  <si>
    <t>The Mandalorian Helmet</t>
  </si>
  <si>
    <t>BB-8™ Astromech Droid</t>
  </si>
  <si>
    <t>TIE Advanced Prototype</t>
  </si>
  <si>
    <t>General Griveous</t>
  </si>
  <si>
    <t>Darth Vader</t>
  </si>
  <si>
    <t>Jango Fett</t>
  </si>
  <si>
    <t>Captain Phasma</t>
  </si>
  <si>
    <t>First Order Stormtrooper</t>
  </si>
  <si>
    <t>Mario Kart - Mario &amp; Standard Kart</t>
  </si>
  <si>
    <t>Piranha Plant</t>
  </si>
  <si>
    <t>Game Boy</t>
  </si>
  <si>
    <t>Land Rover Defender</t>
  </si>
  <si>
    <t>App-Controlled To Gear Rally Car</t>
  </si>
  <si>
    <t>Fifa World Cup Official Trophy</t>
  </si>
  <si>
    <t>Ferrari F2004 &amp; Michael Shumacher</t>
  </si>
  <si>
    <t>Orange Cat</t>
  </si>
  <si>
    <t>Pikachu and Poke Ball</t>
  </si>
  <si>
    <t>Eevee</t>
  </si>
  <si>
    <t>Soccer Ball</t>
  </si>
  <si>
    <t>Ford Model T</t>
  </si>
  <si>
    <t>Lightning McQueen</t>
  </si>
  <si>
    <t>Douglas™ DC-3™ PAN AM® Airliner</t>
  </si>
  <si>
    <t>Luigi &amp; Mach 8</t>
  </si>
  <si>
    <t>Dobby™ the House-Elf</t>
  </si>
  <si>
    <t>APXGP Team Race Car from F1® The Movie</t>
  </si>
  <si>
    <t>Oracle Red Bull Racing RB20 F1® Race Car</t>
  </si>
  <si>
    <t>Mercedes-AMG F1® W15 Race Car</t>
  </si>
  <si>
    <t>WALL-E and EVE</t>
  </si>
  <si>
    <t>Kylo Ren™ Helmet</t>
  </si>
  <si>
    <t>Jango Fett™ Helmet</t>
  </si>
  <si>
    <t>Scout Trooper™ Helmet</t>
  </si>
  <si>
    <t>Luke Skywalker™ (Red Five) Helmet</t>
  </si>
  <si>
    <t>Dark Trooper™ Helmet</t>
  </si>
  <si>
    <t>Clone Commander Cody™ Helmet</t>
  </si>
  <si>
    <t>Princess Leia™ (Boushh™) Helmet</t>
  </si>
  <si>
    <t>Captain Rex™ Helmet</t>
  </si>
  <si>
    <t>Iron Man MK4 Bust</t>
  </si>
  <si>
    <t>The Mighty Bowser™</t>
  </si>
  <si>
    <t>Rocket &amp; Baby Groot</t>
  </si>
  <si>
    <t>The Lord of the Rings: Sauron's Helmet</t>
  </si>
  <si>
    <t>TIE Fighter Pilot™ Helmet</t>
  </si>
  <si>
    <t>LEGO® DC Batman™ Batmobile™ Tumbler: Scarecrow™ Showdown</t>
  </si>
  <si>
    <t>TOTAL SETS - Built or Not</t>
  </si>
  <si>
    <t>TOTAL SETS - Retirement</t>
  </si>
  <si>
    <t>TOTAL SETS - Retirement by year</t>
  </si>
  <si>
    <t>Row Labels</t>
  </si>
  <si>
    <t>Luke Skywalker™ (Rebel Pilot)</t>
  </si>
  <si>
    <t>Sulley, Mike and Boo Figures</t>
  </si>
  <si>
    <t>Trevi Fountain</t>
  </si>
  <si>
    <t>Great Pyramid of Giza</t>
  </si>
  <si>
    <t>London Bus</t>
  </si>
  <si>
    <t>Values</t>
  </si>
  <si>
    <t>Grand Total</t>
  </si>
  <si>
    <t>(All)</t>
  </si>
  <si>
    <t>Imperial Star Destroyer™</t>
  </si>
  <si>
    <t>Nintendo Entertainment System™</t>
  </si>
  <si>
    <t>Mario Kart™ – Spiny Shell</t>
  </si>
  <si>
    <t>bricks still boxes</t>
  </si>
  <si>
    <t>bricks from retired sets</t>
  </si>
  <si>
    <r>
      <rPr>
        <b/>
        <sz val="22"/>
        <color theme="5"/>
        <rFont val="Calibri"/>
        <family val="2"/>
      </rPr>
      <t>🧱</t>
    </r>
    <r>
      <rPr>
        <b/>
        <sz val="22"/>
        <color rgb="FFFFFFFF"/>
        <rFont val="Calibri"/>
        <family val="2"/>
        <charset val="1"/>
      </rPr>
      <t xml:space="preserve">  LEGO Collection Dashboard</t>
    </r>
  </si>
  <si>
    <t>Aston Martin Safety Car &amp; AMR23</t>
  </si>
  <si>
    <t>Atari® 2600</t>
  </si>
  <si>
    <t>Creative Play Droid Builder</t>
  </si>
  <si>
    <t>Battle Droid with STAP</t>
  </si>
  <si>
    <t>Yoda Bust</t>
  </si>
  <si>
    <t>Darth Vader Bust</t>
  </si>
  <si>
    <t>Luke Skywalker's X-wing Fighter</t>
  </si>
  <si>
    <t>Darth Vader Bust 2019</t>
  </si>
  <si>
    <t>Scuderia Ferrari HP Lewis Hamilton Helmet</t>
  </si>
  <si>
    <t>Scuderia Ferrari HP Charles Leclerc</t>
  </si>
  <si>
    <t>The Mandalorian's N-1 Starfighter™</t>
  </si>
  <si>
    <t>R2-D2 (2024)</t>
  </si>
  <si>
    <t>R2-D2 (2021)</t>
  </si>
  <si>
    <t>Las Vegas</t>
  </si>
  <si>
    <t>Grogu (Mandalorian Apprentice)</t>
  </si>
  <si>
    <t>Dubai</t>
  </si>
  <si>
    <t>Boba Fett Mech</t>
  </si>
  <si>
    <t>Darth Vader Mech</t>
  </si>
  <si>
    <t>Stormtrooper Mech</t>
  </si>
  <si>
    <t>X-wing Starfighter</t>
  </si>
  <si>
    <t>Audi Revolut F1 Team</t>
  </si>
  <si>
    <t>Hulkbuster</t>
  </si>
  <si>
    <t>McLaren Mastercard F1® Team Lando Norris Helmet</t>
  </si>
  <si>
    <t>McLaren Mastercard F1® Team Oscar Piastri Helmet</t>
  </si>
  <si>
    <t>Last Update</t>
  </si>
  <si>
    <t>Version</t>
  </si>
  <si>
    <t>Test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</si>
</sst>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2"/>
      <color rgb="FFFFFFFF"/>
      <name val="Calibri"/>
      <family val="2"/>
      <charset val="1"/>
    </font>
    <font>
      <b/>
      <sz val="8"/>
      <color rgb="FF717D7E"/>
      <name val="Calibri"/>
      <charset val="1"/>
    </font>
    <font>
      <b/>
      <sz val="24"/>
      <color rgb="FF1E3A5F"/>
      <name val="Calibri"/>
      <charset val="1"/>
    </font>
    <font>
      <b/>
      <sz val="24"/>
      <color rgb="FF1E8449"/>
      <name val="Calibri"/>
      <charset val="1"/>
    </font>
    <font>
      <b/>
      <sz val="24"/>
      <color rgb="FFE67E22"/>
      <name val="Calibri"/>
      <charset val="1"/>
    </font>
    <font>
      <b/>
      <sz val="24"/>
      <color rgb="FF2471A3"/>
      <name val="Calibri"/>
      <charset val="1"/>
    </font>
    <font>
      <b/>
      <sz val="24"/>
      <color rgb="FF717D7E"/>
      <name val="Calibri"/>
      <charset val="1"/>
    </font>
    <font>
      <b/>
      <sz val="13"/>
      <color rgb="FF000000"/>
      <name val="Calibri"/>
      <charset val="1"/>
    </font>
    <font>
      <i/>
      <sz val="8"/>
      <color rgb="FF717D7E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C1C1C"/>
      <name val="Calibri"/>
      <charset val="1"/>
    </font>
    <font>
      <b/>
      <sz val="9"/>
      <color rgb="FF1E8449"/>
      <name val="Calibri"/>
      <charset val="1"/>
    </font>
    <font>
      <sz val="9"/>
      <color rgb="FF1E8449"/>
      <name val="Calibri"/>
      <charset val="1"/>
    </font>
    <font>
      <b/>
      <sz val="9"/>
      <color rgb="FFE67E22"/>
      <name val="Calibri"/>
      <charset val="1"/>
    </font>
    <font>
      <sz val="9"/>
      <color rgb="FFE67E22"/>
      <name val="Calibri"/>
      <charset val="1"/>
    </font>
    <font>
      <b/>
      <sz val="9"/>
      <color rgb="FF1E3A5F"/>
      <name val="Calibri"/>
      <charset val="1"/>
    </font>
    <font>
      <sz val="9"/>
      <color rgb="FF1E3A5F"/>
      <name val="Calibri"/>
      <charset val="1"/>
    </font>
    <font>
      <sz val="9"/>
      <color rgb="FF1C1C1C"/>
      <name val="Calibri"/>
      <charset val="1"/>
    </font>
    <font>
      <b/>
      <sz val="9"/>
      <color rgb="FF2471A3"/>
      <name val="Calibri"/>
      <charset val="1"/>
    </font>
    <font>
      <sz val="9"/>
      <color rgb="FF2471A3"/>
      <name val="Calibri"/>
      <charset val="1"/>
    </font>
    <font>
      <b/>
      <sz val="9"/>
      <color rgb="FF717D7E"/>
      <name val="Calibri"/>
      <charset val="1"/>
    </font>
    <font>
      <sz val="9"/>
      <color rgb="FF717D7E"/>
      <name val="Calibri"/>
      <charset val="1"/>
    </font>
    <font>
      <b/>
      <sz val="9"/>
      <color rgb="FFC0392B"/>
      <name val="Calibri"/>
      <charset val="1"/>
    </font>
    <font>
      <b/>
      <sz val="11"/>
      <color rgb="FFFFFFFF"/>
      <name val="Calibri"/>
      <family val="2"/>
      <charset val="1"/>
    </font>
    <font>
      <sz val="11"/>
      <color theme="1"/>
      <name val="Calibri"/>
      <family val="2"/>
      <charset val="1"/>
    </font>
    <font>
      <i/>
      <sz val="8"/>
      <color rgb="FF717D7E"/>
      <name val="Calibri"/>
      <family val="2"/>
    </font>
    <font>
      <b/>
      <sz val="22"/>
      <color theme="5"/>
      <name val="Calibri"/>
      <family val="2"/>
    </font>
    <font>
      <b/>
      <sz val="22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305496"/>
      </patternFill>
    </fill>
    <fill>
      <patternFill patternType="solid">
        <fgColor rgb="FFF2F3F4"/>
        <bgColor rgb="FFFFFFFF"/>
      </patternFill>
    </fill>
    <fill>
      <patternFill patternType="solid">
        <fgColor rgb="FFFFFFFF"/>
        <bgColor rgb="FFF2F3F4"/>
      </patternFill>
    </fill>
    <fill>
      <patternFill patternType="solid">
        <fgColor rgb="FF1E8449"/>
        <bgColor rgb="FF008000"/>
      </patternFill>
    </fill>
    <fill>
      <patternFill patternType="solid">
        <fgColor rgb="FFE67E22"/>
        <bgColor rgb="FFCC7C3A"/>
      </patternFill>
    </fill>
    <fill>
      <patternFill patternType="solid">
        <fgColor rgb="FF2471A3"/>
        <bgColor rgb="FF416A9C"/>
      </patternFill>
    </fill>
    <fill>
      <patternFill patternType="solid">
        <fgColor rgb="FF717D7E"/>
        <bgColor rgb="FF8064A2"/>
      </patternFill>
    </fill>
    <fill>
      <patternFill patternType="solid">
        <fgColor rgb="FFD4AC0D"/>
        <bgColor rgb="FFF79646"/>
      </patternFill>
    </fill>
    <fill>
      <patternFill patternType="solid">
        <fgColor rgb="FFC0392B"/>
        <bgColor rgb="FFDA3B30"/>
      </patternFill>
    </fill>
    <fill>
      <patternFill patternType="solid">
        <fgColor rgb="FFF9E79F"/>
        <bgColor rgb="FFDDDDDD"/>
      </patternFill>
    </fill>
    <fill>
      <patternFill patternType="solid">
        <fgColor rgb="FF305496"/>
        <bgColor rgb="FF416A9C"/>
      </patternFill>
    </fill>
    <fill>
      <patternFill patternType="solid">
        <fgColor theme="6"/>
        <bgColor rgb="FF809B49"/>
      </patternFill>
    </fill>
  </fills>
  <borders count="2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7">
    <xf numFmtId="0" fontId="0" fillId="0" borderId="0"/>
    <xf numFmtId="0" fontId="27" fillId="0" borderId="0">
      <alignment horizontal="left"/>
    </xf>
    <xf numFmtId="0" fontId="27" fillId="0" borderId="0"/>
    <xf numFmtId="0" fontId="27" fillId="0" borderId="0"/>
    <xf numFmtId="0" fontId="1" fillId="0" borderId="0"/>
    <xf numFmtId="0" fontId="1" fillId="0" borderId="0">
      <alignment horizontal="left"/>
    </xf>
    <xf numFmtId="0" fontId="27" fillId="0" borderId="0"/>
  </cellStyleXfs>
  <cellXfs count="129">
    <xf numFmtId="0" fontId="0" fillId="0" borderId="0" xfId="0"/>
    <xf numFmtId="0" fontId="12" fillId="2" borderId="4" xfId="0" applyFont="1" applyFill="1" applyBorder="1" applyAlignment="1">
      <alignment horizontal="center" vertical="center"/>
    </xf>
    <xf numFmtId="0" fontId="0" fillId="4" borderId="0" xfId="0" applyFill="1"/>
    <xf numFmtId="0" fontId="12" fillId="5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/>
    </xf>
    <xf numFmtId="3" fontId="15" fillId="4" borderId="4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3" fontId="17" fillId="4" borderId="4" xfId="0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3" fontId="19" fillId="4" borderId="4" xfId="0" applyNumberFormat="1" applyFont="1" applyFill="1" applyBorder="1" applyAlignment="1">
      <alignment horizontal="center" vertical="center"/>
    </xf>
    <xf numFmtId="9" fontId="20" fillId="4" borderId="4" xfId="0" applyNumberFormat="1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3" fontId="22" fillId="4" borderId="4" xfId="0" applyNumberFormat="1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3" fontId="24" fillId="4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center" vertical="center"/>
    </xf>
    <xf numFmtId="3" fontId="15" fillId="3" borderId="4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3" fontId="17" fillId="3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3" fontId="19" fillId="3" borderId="4" xfId="0" applyNumberFormat="1" applyFont="1" applyFill="1" applyBorder="1" applyAlignment="1">
      <alignment horizontal="center" vertical="center"/>
    </xf>
    <xf numFmtId="9" fontId="20" fillId="3" borderId="4" xfId="0" applyNumberFormat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3" fontId="22" fillId="3" borderId="4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3" fontId="24" fillId="3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3" fontId="12" fillId="2" borderId="4" xfId="0" applyNumberFormat="1" applyFont="1" applyFill="1" applyBorder="1" applyAlignment="1">
      <alignment horizontal="center" vertical="center"/>
    </xf>
    <xf numFmtId="9" fontId="12" fillId="2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20" fillId="4" borderId="4" xfId="0" applyFont="1" applyFill="1" applyBorder="1" applyAlignment="1">
      <alignment horizontal="center" vertical="center"/>
    </xf>
    <xf numFmtId="3" fontId="20" fillId="4" borderId="4" xfId="0" applyNumberFormat="1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3" fontId="20" fillId="3" borderId="4" xfId="0" applyNumberFormat="1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3" fontId="25" fillId="11" borderId="4" xfId="0" applyNumberFormat="1" applyFont="1" applyFill="1" applyBorder="1" applyAlignment="1">
      <alignment horizontal="center" vertical="center"/>
    </xf>
    <xf numFmtId="3" fontId="21" fillId="3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3" fontId="12" fillId="10" borderId="4" xfId="0" applyNumberFormat="1" applyFont="1" applyFill="1" applyBorder="1" applyAlignment="1">
      <alignment horizontal="center" vertical="center"/>
    </xf>
    <xf numFmtId="3" fontId="23" fillId="3" borderId="4" xfId="0" applyNumberFormat="1" applyFont="1" applyFill="1" applyBorder="1" applyAlignment="1">
      <alignment horizontal="center" vertical="center"/>
    </xf>
    <xf numFmtId="3" fontId="18" fillId="3" borderId="4" xfId="0" applyNumberFormat="1" applyFont="1" applyFill="1" applyBorder="1" applyAlignment="1">
      <alignment horizontal="center" vertical="center"/>
    </xf>
    <xf numFmtId="3" fontId="21" fillId="4" borderId="4" xfId="0" applyNumberFormat="1" applyFont="1" applyFill="1" applyBorder="1" applyAlignment="1">
      <alignment horizontal="center" vertical="center"/>
    </xf>
    <xf numFmtId="3" fontId="23" fillId="4" borderId="4" xfId="0" applyNumberFormat="1" applyFont="1" applyFill="1" applyBorder="1" applyAlignment="1">
      <alignment horizontal="center" vertical="center"/>
    </xf>
    <xf numFmtId="3" fontId="18" fillId="4" borderId="4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6" fillId="12" borderId="22" xfId="0" applyFont="1" applyFill="1" applyBorder="1" applyAlignment="1">
      <alignment horizontal="center" vertical="center"/>
    </xf>
    <xf numFmtId="1" fontId="26" fillId="12" borderId="22" xfId="0" applyNumberFormat="1" applyFont="1" applyFill="1" applyBorder="1" applyAlignment="1">
      <alignment horizontal="center" vertical="center"/>
    </xf>
    <xf numFmtId="0" fontId="26" fillId="12" borderId="2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0" fillId="0" borderId="0" xfId="0" applyNumberFormat="1"/>
    <xf numFmtId="3" fontId="9" fillId="4" borderId="9" xfId="0" applyNumberFormat="1" applyFont="1" applyFill="1" applyBorder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3" fontId="9" fillId="4" borderId="13" xfId="0" applyNumberFormat="1" applyFont="1" applyFill="1" applyBorder="1" applyAlignment="1">
      <alignment horizontal="center" vertical="center"/>
    </xf>
    <xf numFmtId="0" fontId="28" fillId="4" borderId="9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3" xfId="0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12" fillId="5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13">
    <dxf>
      <fill>
        <patternFill>
          <bgColor theme="4" tint="0.7997985778374584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</dxfs>
  <tableStyles count="0" defaultTableStyle="TableStyleMedium2" defaultPivotStyle="PivotStyleLight16"/>
  <colors>
    <indexedColors>
      <rgbColor rgb="FF000000"/>
      <rgbColor rgb="FFFFFFFF"/>
      <rgbColor rgb="FFDA3B3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5286"/>
      <rgbColor rgb="FF800080"/>
      <rgbColor rgb="FF3E8EA4"/>
      <rgbColor rgb="FFCCCCCC"/>
      <rgbColor rgb="FF717D7E"/>
      <rgbColor rgb="FFAABAD7"/>
      <rgbColor rgb="FF9F423F"/>
      <rgbColor rgb="FFF2F3F4"/>
      <rgbColor rgb="FFDCE6F2"/>
      <rgbColor rgb="FF660066"/>
      <rgbColor rgb="FFCC7C3A"/>
      <rgbColor rgb="FF2471A3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5D6AC"/>
      <rgbColor rgb="FFDDDDDD"/>
      <rgbColor rgb="FFF9E79F"/>
      <rgbColor rgb="FFA9CEDC"/>
      <rgbColor rgb="FFD8AAA9"/>
      <rgbColor rgb="FFB9AFC9"/>
      <rgbColor rgb="FFF9C3A8"/>
      <rgbColor rgb="FF416A9C"/>
      <rgbColor rgb="FF4BACC6"/>
      <rgbColor rgb="FF9BBB59"/>
      <rgbColor rgb="FFD4AC0D"/>
      <rgbColor rgb="FFF79646"/>
      <rgbColor rgb="FFE67E22"/>
      <rgbColor rgb="FF8064A2"/>
      <rgbColor rgb="FF809B49"/>
      <rgbColor rgb="FF1E3A5F"/>
      <rgbColor rgb="FF1E8449"/>
      <rgbColor rgb="FF003300"/>
      <rgbColor rgb="FF333300"/>
      <rgbColor rgb="FFC0392B"/>
      <rgbColor rgb="FFC0504D"/>
      <rgbColor rgb="FF305496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Build Status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 w="9525" cap="flat" cmpd="sng" algn="ctr">
          <a:prstDash val="solid"/>
          <a:round/>
        </a:ln>
        <a:effectLst/>
        <a:sp3d/>
      </c:spPr>
    </c:floor>
    <c:sideWall>
      <c:thickness val="0"/>
      <c:spPr>
        <a:noFill/>
        <a:ln w="0">
          <a:noFill/>
        </a:ln>
        <a:effectLst/>
        <a:sp3d/>
      </c:spPr>
    </c:sideWall>
    <c:backWall>
      <c:thickness val="0"/>
      <c:spPr>
        <a:noFill/>
        <a:ln w="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827097345281486E-2"/>
          <c:y val="0.10553312024115798"/>
          <c:w val="0.82875230750699602"/>
          <c:h val="0.7426467607390659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FC5-4A87-B221-DB9CC5D1B1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FC5-4A87-B221-DB9CC5D1B1F7}"/>
              </c:ext>
            </c:extLst>
          </c:dPt>
          <c:dLbls>
            <c:dLbl>
              <c:idx val="0"/>
              <c:layout>
                <c:manualLayout>
                  <c:x val="-0.17076252076406151"/>
                  <c:y val="-3.0033523037343045E-2"/>
                </c:manualLayout>
              </c:layout>
              <c:tx>
                <c:rich>
                  <a:bodyPr/>
                  <a:lstStyle/>
                  <a:p>
                    <a:fld id="{9B36D157-9ED3-4789-8DF3-504944F21239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1D00D196-706F-44A8-893A-49022085559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 - </a:t>
                    </a:r>
                    <a:fld id="{A75C232F-BF27-489E-A086-43903C81440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659970811262036"/>
                      <c:h val="9.158415841584158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FC5-4A87-B221-DB9CC5D1B1F7}"/>
                </c:ext>
              </c:extLst>
            </c:dLbl>
            <c:dLbl>
              <c:idx val="1"/>
              <c:layout>
                <c:manualLayout>
                  <c:x val="0.14230210063671786"/>
                  <c:y val="1.8295002728619319E-2"/>
                </c:manualLayout>
              </c:layout>
              <c:tx>
                <c:rich>
                  <a:bodyPr/>
                  <a:lstStyle/>
                  <a:p>
                    <a:fld id="{C70DFDB0-C13C-4579-A5FE-83F39FA800A2}" type="CATEGORYNAME">
                      <a:rPr lang="en-US"/>
                      <a:pPr/>
                      <a:t>[CATEGORY NAME]</a:t>
                    </a:fld>
                    <a:endParaRPr lang="en-US"/>
                  </a:p>
                  <a:p>
                    <a:r>
                      <a:rPr lang="en-US" baseline="0"/>
                      <a:t> </a:t>
                    </a:r>
                    <a:fld id="{6240DFD7-06D0-4758-8008-76DFB976AEDD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 - </a:t>
                    </a:r>
                    <a:fld id="{154EE460-C8A2-4B2E-97E2-E7637D21210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62217391669722"/>
                      <c:h val="9.158415841584158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FC5-4A87-B221-DB9CC5D1B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Dashboard!$B$55:$B$56</c:f>
              <c:strCache>
                <c:ptCount val="2"/>
                <c:pt idx="0">
                  <c:v>Built</c:v>
                </c:pt>
                <c:pt idx="1">
                  <c:v>To Build</c:v>
                </c:pt>
              </c:strCache>
            </c:strRef>
          </c:cat>
          <c:val>
            <c:numRef>
              <c:f>Dashboard!$C$55:$C$56</c:f>
              <c:numCache>
                <c:formatCode>General</c:formatCode>
                <c:ptCount val="2"/>
                <c:pt idx="0">
                  <c:v>66</c:v>
                </c:pt>
                <c:pt idx="1">
                  <c:v>72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Sets</c:v>
                </c15:tx>
              </c15:filteredSeriesTitle>
            </c:ext>
            <c:ext xmlns:c16="http://schemas.microsoft.com/office/drawing/2014/chart" uri="{C3380CC4-5D6E-409C-BE32-E72D297353CC}">
              <c16:uniqueId val="{00000004-0FC5-4A87-B221-DB9CC5D1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Retirement Status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 w="9525" cap="flat" cmpd="sng" algn="ctr">
          <a:prstDash val="solid"/>
          <a:round/>
        </a:ln>
        <a:effectLst/>
        <a:sp3d/>
      </c:spPr>
    </c:floor>
    <c:sideWall>
      <c:thickness val="0"/>
      <c:spPr>
        <a:noFill/>
        <a:ln w="0">
          <a:noFill/>
        </a:ln>
        <a:effectLst/>
        <a:sp3d/>
      </c:spPr>
    </c:sideWall>
    <c:backWall>
      <c:thickness val="0"/>
      <c:spPr>
        <a:noFill/>
        <a:ln w="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058120117898883E-2"/>
          <c:y val="0.10223279020815468"/>
          <c:w val="0.83230115769536805"/>
          <c:h val="0.74594709077206933"/>
        </c:manualLayout>
      </c:layout>
      <c:pie3DChart>
        <c:varyColors val="1"/>
        <c:ser>
          <c:idx val="0"/>
          <c:order val="0"/>
          <c:tx>
            <c:v>Sets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AA4-48F3-AA4E-C18B642195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AA4-48F3-AA4E-C18B6421954C}"/>
              </c:ext>
            </c:extLst>
          </c:dPt>
          <c:dLbls>
            <c:dLbl>
              <c:idx val="0"/>
              <c:layout>
                <c:manualLayout>
                  <c:x val="-0.1138643266202692"/>
                  <c:y val="-0.11158233933629584"/>
                </c:manualLayout>
              </c:layout>
              <c:tx>
                <c:rich>
                  <a:bodyPr/>
                  <a:lstStyle/>
                  <a:p>
                    <a:fld id="{2F60F040-2D4D-4BDF-B32E-E7AB21711421}" type="CATEGORYNAM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>
                      <a:solidFill>
                        <a:sysClr val="windowText" lastClr="000000"/>
                      </a:solidFill>
                    </a:endParaRPr>
                  </a:p>
                  <a:p>
                    <a:fld id="{BED4D320-0030-475F-995E-B6AA724BA17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B53F1811-1A0E-4B04-89BA-7B8AF82D857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129229286442749"/>
                      <c:h val="0.1311881188118811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AA4-48F3-AA4E-C18B642195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554234-D5F3-43DF-B908-C84F888A5427}" type="CATEGORYNAME">
                      <a:rPr lang="en-US"/>
                      <a:pPr/>
                      <a:t>[CATEGORY NAME]</a:t>
                    </a:fld>
                    <a:endParaRPr lang="en-US"/>
                  </a:p>
                  <a:p>
                    <a:fld id="{E36D168D-0ACE-46D2-9994-B17F41EBDB4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 - </a:t>
                    </a:r>
                    <a:fld id="{5FCE5F22-5724-40C8-83B4-D9F1E376332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7773369644398"/>
                      <c:h val="9.158415841584158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AA4-48F3-AA4E-C18B642195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Dashboard!$D$55:$D$56</c:f>
              <c:strCache>
                <c:ptCount val="2"/>
                <c:pt idx="0">
                  <c:v>Not Retired</c:v>
                </c:pt>
                <c:pt idx="1">
                  <c:v>Retired</c:v>
                </c:pt>
              </c:strCache>
            </c:strRef>
          </c:cat>
          <c:val>
            <c:numRef>
              <c:f>Dashboard!$E$55:$E$56</c:f>
              <c:numCache>
                <c:formatCode>General</c:formatCode>
                <c:ptCount val="2"/>
                <c:pt idx="0">
                  <c:v>75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A4-48F3-AA4E-C18B64219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Bricks by Theme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Bricks</c:v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46-4803-8511-B0E2FB4EA24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46-4803-8511-B0E2FB4EA247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46-4803-8511-B0E2FB4EA247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46-4803-8511-B0E2FB4EA247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46-4803-8511-B0E2FB4EA247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46-4803-8511-B0E2FB4EA247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shade val="51000"/>
                    </a:schemeClr>
                  </a:gs>
                  <a:gs pos="80000">
                    <a:schemeClr val="accent1">
                      <a:lumMod val="60000"/>
                      <a:shade val="93000"/>
                    </a:schemeClr>
                  </a:gs>
                  <a:gs pos="100000">
                    <a:schemeClr val="accent1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846-4803-8511-B0E2FB4EA247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shade val="51000"/>
                    </a:schemeClr>
                  </a:gs>
                  <a:gs pos="80000">
                    <a:schemeClr val="accent2">
                      <a:lumMod val="60000"/>
                      <a:shade val="93000"/>
                    </a:schemeClr>
                  </a:gs>
                  <a:gs pos="100000">
                    <a:schemeClr val="accent2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846-4803-8511-B0E2FB4EA247}"/>
              </c:ext>
            </c:extLst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shade val="51000"/>
                    </a:schemeClr>
                  </a:gs>
                  <a:gs pos="80000">
                    <a:schemeClr val="accent3">
                      <a:lumMod val="60000"/>
                      <a:shade val="93000"/>
                    </a:schemeClr>
                  </a:gs>
                  <a:gs pos="100000">
                    <a:schemeClr val="accent3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846-4803-8511-B0E2FB4EA247}"/>
              </c:ext>
            </c:extLst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shade val="51000"/>
                    </a:schemeClr>
                  </a:gs>
                  <a:gs pos="80000">
                    <a:schemeClr val="accent4">
                      <a:lumMod val="60000"/>
                      <a:shade val="93000"/>
                    </a:schemeClr>
                  </a:gs>
                  <a:gs pos="100000">
                    <a:schemeClr val="accent4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846-4803-8511-B0E2FB4EA247}"/>
              </c:ext>
            </c:extLst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shade val="51000"/>
                    </a:schemeClr>
                  </a:gs>
                  <a:gs pos="80000">
                    <a:schemeClr val="accent5">
                      <a:lumMod val="60000"/>
                      <a:shade val="93000"/>
                    </a:schemeClr>
                  </a:gs>
                  <a:gs pos="100000">
                    <a:schemeClr val="accent5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0846-4803-8511-B0E2FB4EA247}"/>
              </c:ext>
            </c:extLst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shade val="51000"/>
                    </a:schemeClr>
                  </a:gs>
                  <a:gs pos="80000">
                    <a:schemeClr val="accent6">
                      <a:lumMod val="60000"/>
                      <a:shade val="93000"/>
                    </a:schemeClr>
                  </a:gs>
                  <a:gs pos="100000">
                    <a:schemeClr val="accent6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846-4803-8511-B0E2FB4EA247}"/>
              </c:ext>
            </c:extLst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shade val="51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846-4803-8511-B0E2FB4EA247}"/>
              </c:ext>
            </c:extLst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shade val="51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0846-4803-8511-B0E2FB4EA247}"/>
              </c:ext>
            </c:extLst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shade val="51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846-4803-8511-B0E2FB4EA247}"/>
              </c:ext>
            </c:extLst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shade val="51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0846-4803-8511-B0E2FB4EA247}"/>
              </c:ext>
            </c:extLst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shade val="51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0846-4803-8511-B0E2FB4EA247}"/>
              </c:ext>
            </c:extLst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shade val="51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846-4803-8511-B0E2FB4EA247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46-4803-8511-B0E2FB4EA247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46-4803-8511-B0E2FB4EA247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46-4803-8511-B0E2FB4EA247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46-4803-8511-B0E2FB4EA247}"/>
                </c:ext>
              </c:extLst>
            </c:dLbl>
            <c:dLbl>
              <c:idx val="4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46-4803-8511-B0E2FB4EA247}"/>
                </c:ext>
              </c:extLst>
            </c:dLbl>
            <c:dLbl>
              <c:idx val="5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46-4803-8511-B0E2FB4EA247}"/>
                </c:ext>
              </c:extLst>
            </c:dLbl>
            <c:dLbl>
              <c:idx val="6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46-4803-8511-B0E2FB4EA247}"/>
                </c:ext>
              </c:extLst>
            </c:dLbl>
            <c:dLbl>
              <c:idx val="7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846-4803-8511-B0E2FB4EA247}"/>
                </c:ext>
              </c:extLst>
            </c:dLbl>
            <c:dLbl>
              <c:idx val="8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846-4803-8511-B0E2FB4EA247}"/>
                </c:ext>
              </c:extLst>
            </c:dLbl>
            <c:dLbl>
              <c:idx val="9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846-4803-8511-B0E2FB4EA247}"/>
                </c:ext>
              </c:extLst>
            </c:dLbl>
            <c:dLbl>
              <c:idx val="10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846-4803-8511-B0E2FB4EA247}"/>
                </c:ext>
              </c:extLst>
            </c:dLbl>
            <c:dLbl>
              <c:idx val="11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846-4803-8511-B0E2FB4EA247}"/>
                </c:ext>
              </c:extLst>
            </c:dLbl>
            <c:dLbl>
              <c:idx val="12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846-4803-8511-B0E2FB4EA247}"/>
                </c:ext>
              </c:extLst>
            </c:dLbl>
            <c:dLbl>
              <c:idx val="13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846-4803-8511-B0E2FB4EA247}"/>
                </c:ext>
              </c:extLst>
            </c:dLbl>
            <c:dLbl>
              <c:idx val="14"/>
              <c:layout>
                <c:manualLayout>
                  <c:x val="8.6776236303795357E-2"/>
                  <c:y val="1.24824159161079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846-4803-8511-B0E2FB4EA247}"/>
                </c:ext>
              </c:extLst>
            </c:dLbl>
            <c:dLbl>
              <c:idx val="15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846-4803-8511-B0E2FB4EA247}"/>
                </c:ext>
              </c:extLst>
            </c:dLbl>
            <c:dLbl>
              <c:idx val="16"/>
              <c:layout>
                <c:manualLayout>
                  <c:x val="0.18940819897512812"/>
                  <c:y val="2.77132469810183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846-4803-8511-B0E2FB4EA247}"/>
                </c:ext>
              </c:extLst>
            </c:dLbl>
            <c:dLbl>
              <c:idx val="17"/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846-4803-8511-B0E2FB4EA2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Dashboard!$B$13:$B$30</c:f>
              <c:strCache>
                <c:ptCount val="18"/>
                <c:pt idx="0">
                  <c:v>Star Wars</c:v>
                </c:pt>
                <c:pt idx="1">
                  <c:v>Architecture</c:v>
                </c:pt>
                <c:pt idx="2">
                  <c:v>Icons</c:v>
                </c:pt>
                <c:pt idx="3">
                  <c:v>Ideas</c:v>
                </c:pt>
                <c:pt idx="4">
                  <c:v>Speed Champions</c:v>
                </c:pt>
                <c:pt idx="5">
                  <c:v>Super Mario</c:v>
                </c:pt>
                <c:pt idx="6">
                  <c:v>Marvel</c:v>
                </c:pt>
                <c:pt idx="7">
                  <c:v>Creator Expert</c:v>
                </c:pt>
                <c:pt idx="8">
                  <c:v>Technic</c:v>
                </c:pt>
                <c:pt idx="9">
                  <c:v>Editions</c:v>
                </c:pt>
                <c:pt idx="10">
                  <c:v>Other</c:v>
                </c:pt>
                <c:pt idx="11">
                  <c:v>Pokemon</c:v>
                </c:pt>
                <c:pt idx="12">
                  <c:v>Disney</c:v>
                </c:pt>
                <c:pt idx="13">
                  <c:v>Jurassic World</c:v>
                </c:pt>
                <c:pt idx="14">
                  <c:v>Botanical Collection</c:v>
                </c:pt>
                <c:pt idx="15">
                  <c:v>Harry Potter</c:v>
                </c:pt>
                <c:pt idx="16">
                  <c:v>Creator</c:v>
                </c:pt>
                <c:pt idx="17">
                  <c:v>DC</c:v>
                </c:pt>
              </c:strCache>
            </c:strRef>
          </c:cat>
          <c:val>
            <c:numRef>
              <c:f>Dashboard!$H$13:$H$30</c:f>
              <c:numCache>
                <c:formatCode>#,##0</c:formatCode>
                <c:ptCount val="18"/>
                <c:pt idx="0">
                  <c:v>45783</c:v>
                </c:pt>
                <c:pt idx="1">
                  <c:v>22286</c:v>
                </c:pt>
                <c:pt idx="2">
                  <c:v>41709</c:v>
                </c:pt>
                <c:pt idx="3">
                  <c:v>11138</c:v>
                </c:pt>
                <c:pt idx="4">
                  <c:v>2824</c:v>
                </c:pt>
                <c:pt idx="5">
                  <c:v>10854</c:v>
                </c:pt>
                <c:pt idx="6">
                  <c:v>6348</c:v>
                </c:pt>
                <c:pt idx="7">
                  <c:v>11439</c:v>
                </c:pt>
                <c:pt idx="8">
                  <c:v>3036</c:v>
                </c:pt>
                <c:pt idx="9">
                  <c:v>9196</c:v>
                </c:pt>
                <c:pt idx="10">
                  <c:v>8221</c:v>
                </c:pt>
                <c:pt idx="11">
                  <c:v>2637</c:v>
                </c:pt>
                <c:pt idx="12">
                  <c:v>811</c:v>
                </c:pt>
                <c:pt idx="13">
                  <c:v>3145</c:v>
                </c:pt>
                <c:pt idx="14">
                  <c:v>878</c:v>
                </c:pt>
                <c:pt idx="15">
                  <c:v>403</c:v>
                </c:pt>
                <c:pt idx="16">
                  <c:v>336</c:v>
                </c:pt>
                <c:pt idx="17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846-4803-8511-B0E2FB4E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50</xdr:row>
      <xdr:rowOff>19050</xdr:rowOff>
    </xdr:from>
    <xdr:to>
      <xdr:col>7</xdr:col>
      <xdr:colOff>45620</xdr:colOff>
      <xdr:row>71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19050</xdr:colOff>
      <xdr:row>50</xdr:row>
      <xdr:rowOff>63500</xdr:rowOff>
    </xdr:from>
    <xdr:to>
      <xdr:col>14</xdr:col>
      <xdr:colOff>248110</xdr:colOff>
      <xdr:row>71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68</xdr:row>
      <xdr:rowOff>31750</xdr:rowOff>
    </xdr:from>
    <xdr:to>
      <xdr:col>14</xdr:col>
      <xdr:colOff>266700</xdr:colOff>
      <xdr:row>98</xdr:row>
      <xdr:rowOff>50800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26182ED-F6B8-C262-5652-A411CC670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Felipe Ranoya Santos" refreshedDate="46133.139877199072" createdVersion="3" refreshedVersion="8" recordCount="258" xr:uid="{00000000-000A-0000-FFFF-FFFF01000000}">
  <cacheSource type="worksheet">
    <worksheetSource ref="A1:I5000" sheet="Inventory"/>
  </cacheSource>
  <cacheFields count="9">
    <cacheField name="#" numFmtId="0">
      <sharedItems containsString="0" containsBlank="1" containsNumber="1" containsInteger="1" minValue="1" maxValue="257"/>
    </cacheField>
    <cacheField name="Set Number" numFmtId="1">
      <sharedItems containsString="0" containsBlank="1" containsNumber="1" containsInteger="1" minValue="10214" maxValue="77256"/>
    </cacheField>
    <cacheField name="Set Name" numFmtId="0">
      <sharedItems containsBlank="1"/>
    </cacheField>
    <cacheField name="Theme" numFmtId="0">
      <sharedItems containsBlank="1" count="19">
        <s v="Architecture"/>
        <s v="Botanical Collection"/>
        <s v="Creator"/>
        <s v="Creator Expert"/>
        <s v="Icons"/>
        <s v="Ideas"/>
        <s v="Jurassic World"/>
        <s v="Marvel"/>
        <s v="Other"/>
        <s v="Speed Champions"/>
        <s v="Star Wars"/>
        <s v="Super Mario"/>
        <s v="Technic"/>
        <s v="Editions"/>
        <s v="Pokemon"/>
        <s v="Harry Potter"/>
        <s v="Disney"/>
        <s v="DC"/>
        <m/>
      </sharedItems>
    </cacheField>
    <cacheField name="Pieces" numFmtId="1">
      <sharedItems containsString="0" containsBlank="1" containsNumber="1" containsInteger="1" minValue="81" maxValue="10001"/>
    </cacheField>
    <cacheField name="Year Released" numFmtId="1">
      <sharedItems containsString="0" containsBlank="1" containsNumber="1" containsInteger="1" minValue="2010" maxValue="2026"/>
    </cacheField>
    <cacheField name="Year Retired" numFmtId="1">
      <sharedItems containsBlank="1" containsMixedTypes="1" containsNumber="1" containsInteger="1" minValue="2011" maxValue="2026" count="14">
        <s v="-"/>
        <n v="2026"/>
        <n v="2018"/>
        <n v="2017"/>
        <n v="2025"/>
        <n v="2011"/>
        <n v="2016"/>
        <n v="2015"/>
        <n v="2022"/>
        <n v="2012"/>
        <n v="2023"/>
        <n v="2024"/>
        <n v="2021"/>
        <m/>
      </sharedItems>
    </cacheField>
    <cacheField name="Built" numFmtId="0">
      <sharedItems containsBlank="1" count="3">
        <s v="NO"/>
        <s v="YES"/>
        <m/>
      </sharedItems>
    </cacheField>
    <cacheField name="Retired" numFmtId="1">
      <sharedItems containsBlank="1" count="4">
        <s v="Not Retired"/>
        <s v="Retired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n v="1"/>
    <n v="21061"/>
    <s v="Notre-Dame de Paris"/>
    <x v="0"/>
    <n v="4383"/>
    <n v="2024"/>
    <x v="0"/>
    <x v="0"/>
    <x v="0"/>
  </r>
  <r>
    <n v="2"/>
    <n v="21063"/>
    <s v="Neuschwanstein Castle"/>
    <x v="0"/>
    <n v="3455"/>
    <n v="2025"/>
    <x v="0"/>
    <x v="0"/>
    <x v="0"/>
  </r>
  <r>
    <n v="3"/>
    <n v="21060"/>
    <s v="Himeji Castle"/>
    <x v="0"/>
    <n v="2125"/>
    <n v="2023"/>
    <x v="1"/>
    <x v="0"/>
    <x v="0"/>
  </r>
  <r>
    <n v="4"/>
    <n v="21042"/>
    <s v="Statue of Liberty"/>
    <x v="0"/>
    <n v="1685"/>
    <n v="2018"/>
    <x v="1"/>
    <x v="1"/>
    <x v="0"/>
  </r>
  <r>
    <n v="5"/>
    <n v="21029"/>
    <s v="Buckingham Palace"/>
    <x v="0"/>
    <n v="780"/>
    <n v="2016"/>
    <x v="2"/>
    <x v="1"/>
    <x v="1"/>
  </r>
  <r>
    <n v="6"/>
    <n v="21024"/>
    <s v="Louvre"/>
    <x v="0"/>
    <n v="695"/>
    <n v="2015"/>
    <x v="3"/>
    <x v="1"/>
    <x v="1"/>
  </r>
  <r>
    <n v="7"/>
    <n v="21028"/>
    <s v="New York City"/>
    <x v="0"/>
    <n v="598"/>
    <n v="2016"/>
    <x v="4"/>
    <x v="1"/>
    <x v="1"/>
  </r>
  <r>
    <n v="8"/>
    <n v="21006"/>
    <s v="The White House"/>
    <x v="0"/>
    <n v="561"/>
    <n v="2010"/>
    <x v="5"/>
    <x v="1"/>
    <x v="1"/>
  </r>
  <r>
    <n v="9"/>
    <n v="21023"/>
    <s v="Flatiron Buildiing"/>
    <x v="0"/>
    <n v="471"/>
    <n v="2015"/>
    <x v="6"/>
    <x v="1"/>
    <x v="1"/>
  </r>
  <r>
    <n v="10"/>
    <n v="21034"/>
    <s v="London"/>
    <x v="0"/>
    <n v="468"/>
    <n v="2017"/>
    <x v="0"/>
    <x v="0"/>
    <x v="0"/>
  </r>
  <r>
    <n v="11"/>
    <n v="21011"/>
    <s v="Brandenburg Gate"/>
    <x v="0"/>
    <n v="363"/>
    <n v="2011"/>
    <x v="7"/>
    <x v="1"/>
    <x v="1"/>
  </r>
  <r>
    <n v="12"/>
    <n v="21013"/>
    <s v="Big Ben"/>
    <x v="0"/>
    <n v="346"/>
    <n v="2012"/>
    <x v="6"/>
    <x v="1"/>
    <x v="1"/>
  </r>
  <r>
    <n v="13"/>
    <n v="21015"/>
    <s v="The Leaning Tower of Pisa"/>
    <x v="0"/>
    <n v="345"/>
    <n v="2013"/>
    <x v="7"/>
    <x v="1"/>
    <x v="1"/>
  </r>
  <r>
    <n v="14"/>
    <n v="21055"/>
    <s v="Burj Khalifa"/>
    <x v="0"/>
    <n v="333"/>
    <n v="2019"/>
    <x v="8"/>
    <x v="1"/>
    <x v="1"/>
  </r>
  <r>
    <n v="15"/>
    <n v="21019"/>
    <s v="The Iiffel Tower"/>
    <x v="0"/>
    <n v="321"/>
    <n v="2014"/>
    <x v="2"/>
    <x v="1"/>
    <x v="1"/>
  </r>
  <r>
    <n v="16"/>
    <n v="21027"/>
    <s v="Berlin"/>
    <x v="0"/>
    <n v="289"/>
    <n v="2016"/>
    <x v="3"/>
    <x v="1"/>
    <x v="1"/>
  </r>
  <r>
    <n v="17"/>
    <n v="21022"/>
    <s v="Lincoln Memorial"/>
    <x v="0"/>
    <n v="274"/>
    <n v="2015"/>
    <x v="6"/>
    <x v="1"/>
    <x v="1"/>
  </r>
  <r>
    <n v="18"/>
    <n v="21026"/>
    <s v="Venice"/>
    <x v="0"/>
    <n v="212"/>
    <n v="2016"/>
    <x v="3"/>
    <x v="1"/>
    <x v="1"/>
  </r>
  <r>
    <n v="19"/>
    <n v="10281"/>
    <s v="Bonsai Tree"/>
    <x v="1"/>
    <n v="878"/>
    <n v="2021"/>
    <x v="0"/>
    <x v="1"/>
    <x v="0"/>
  </r>
  <r>
    <n v="20"/>
    <n v="31382"/>
    <s v="Playful Puppy Dog"/>
    <x v="2"/>
    <n v="336"/>
    <n v="2026"/>
    <x v="0"/>
    <x v="0"/>
    <x v="0"/>
  </r>
  <r>
    <n v="21"/>
    <n v="10214"/>
    <s v="Tower Bridge"/>
    <x v="3"/>
    <n v="4287"/>
    <n v="2010"/>
    <x v="9"/>
    <x v="1"/>
    <x v="1"/>
  </r>
  <r>
    <n v="22"/>
    <n v="10253"/>
    <s v="Big Ben"/>
    <x v="3"/>
    <n v="4163"/>
    <n v="2016"/>
    <x v="2"/>
    <x v="1"/>
    <x v="1"/>
  </r>
  <r>
    <n v="23"/>
    <n v="10234"/>
    <s v="Sydney Opera House"/>
    <x v="3"/>
    <n v="2989"/>
    <n v="2013"/>
    <x v="6"/>
    <x v="1"/>
    <x v="1"/>
  </r>
  <r>
    <n v="24"/>
    <n v="10307"/>
    <s v="The Eiffel Tower"/>
    <x v="4"/>
    <n v="10001"/>
    <n v="2022"/>
    <x v="1"/>
    <x v="0"/>
    <x v="0"/>
  </r>
  <r>
    <n v="25"/>
    <n v="10294"/>
    <s v="Titanic"/>
    <x v="4"/>
    <n v="9090"/>
    <n v="2021"/>
    <x v="0"/>
    <x v="1"/>
    <x v="0"/>
  </r>
  <r>
    <n v="26"/>
    <n v="10335"/>
    <s v="The Endurance"/>
    <x v="4"/>
    <n v="3011"/>
    <n v="2024"/>
    <x v="1"/>
    <x v="0"/>
    <x v="0"/>
  </r>
  <r>
    <n v="27"/>
    <n v="10317"/>
    <s v="Land Rover Classic Defender 90"/>
    <x v="4"/>
    <n v="2336"/>
    <n v="2023"/>
    <x v="4"/>
    <x v="0"/>
    <x v="1"/>
  </r>
  <r>
    <n v="28"/>
    <n v="11384"/>
    <s v="Golden Retreiver Puppy"/>
    <x v="4"/>
    <n v="2102"/>
    <n v="2026"/>
    <x v="0"/>
    <x v="0"/>
    <x v="0"/>
  </r>
  <r>
    <n v="29"/>
    <n v="10318"/>
    <s v="Concorde"/>
    <x v="4"/>
    <n v="2083"/>
    <n v="2023"/>
    <x v="1"/>
    <x v="1"/>
    <x v="0"/>
  </r>
  <r>
    <n v="30"/>
    <n v="10292"/>
    <s v="The Friends Apartment"/>
    <x v="4"/>
    <n v="2048"/>
    <n v="2021"/>
    <x v="10"/>
    <x v="1"/>
    <x v="1"/>
  </r>
  <r>
    <n v="31"/>
    <n v="10300"/>
    <s v="Back to the Future Time Machine"/>
    <x v="4"/>
    <n v="1872"/>
    <n v="2022"/>
    <x v="1"/>
    <x v="0"/>
    <x v="0"/>
  </r>
  <r>
    <n v="32"/>
    <n v="10334"/>
    <s v="Retro Radio"/>
    <x v="4"/>
    <n v="906"/>
    <n v="2024"/>
    <x v="1"/>
    <x v="0"/>
    <x v="0"/>
  </r>
  <r>
    <n v="33"/>
    <n v="10353"/>
    <s v="Williams Racing FW14B &amp; Nigel Mansel"/>
    <x v="4"/>
    <n v="799"/>
    <n v="2025"/>
    <x v="0"/>
    <x v="1"/>
    <x v="0"/>
  </r>
  <r>
    <n v="34"/>
    <n v="10330"/>
    <s v="McLaren MP4/4 &amp; Ayrton Senna"/>
    <x v="4"/>
    <n v="693"/>
    <n v="2024"/>
    <x v="0"/>
    <x v="1"/>
    <x v="0"/>
  </r>
  <r>
    <n v="35"/>
    <n v="21327"/>
    <s v="Typewriter"/>
    <x v="5"/>
    <n v="2079"/>
    <n v="2021"/>
    <x v="11"/>
    <x v="1"/>
    <x v="1"/>
  </r>
  <r>
    <n v="36"/>
    <n v="21349"/>
    <s v="Tuxedo Cat"/>
    <x v="5"/>
    <n v="1710"/>
    <n v="2024"/>
    <x v="0"/>
    <x v="1"/>
    <x v="0"/>
  </r>
  <r>
    <n v="37"/>
    <n v="21347"/>
    <s v="Red London Telephone Box"/>
    <x v="5"/>
    <n v="1460"/>
    <n v="2024"/>
    <x v="4"/>
    <x v="1"/>
    <x v="1"/>
  </r>
  <r>
    <n v="38"/>
    <n v="21328"/>
    <s v="Seinfeld"/>
    <x v="5"/>
    <n v="1326"/>
    <n v="2021"/>
    <x v="8"/>
    <x v="1"/>
    <x v="1"/>
  </r>
  <r>
    <n v="39"/>
    <n v="21361"/>
    <s v="Gremlins: Gizmo"/>
    <x v="5"/>
    <n v="1125"/>
    <n v="2025"/>
    <x v="0"/>
    <x v="0"/>
    <x v="0"/>
  </r>
  <r>
    <n v="40"/>
    <n v="21319"/>
    <s v="Central Perk"/>
    <x v="5"/>
    <n v="1070"/>
    <n v="2019"/>
    <x v="8"/>
    <x v="1"/>
    <x v="1"/>
  </r>
  <r>
    <n v="41"/>
    <n v="21357"/>
    <s v="Disney Pixar Luxo Jr."/>
    <x v="5"/>
    <n v="613"/>
    <n v="2025"/>
    <x v="0"/>
    <x v="1"/>
    <x v="0"/>
  </r>
  <r>
    <n v="42"/>
    <n v="76968"/>
    <s v="Dinosaur Fossils: Tyrannosaurus rex"/>
    <x v="6"/>
    <n v="3145"/>
    <n v="2025"/>
    <x v="1"/>
    <x v="0"/>
    <x v="0"/>
  </r>
  <r>
    <n v="43"/>
    <n v="76344"/>
    <s v="Iron Man Mark 3 Collector's Edition"/>
    <x v="7"/>
    <n v="1297"/>
    <n v="2026"/>
    <x v="0"/>
    <x v="0"/>
    <x v="0"/>
  </r>
  <r>
    <n v="44"/>
    <n v="40179"/>
    <s v="Mosaic Maker"/>
    <x v="8"/>
    <n v="4702"/>
    <n v="2016"/>
    <x v="0"/>
    <x v="0"/>
    <x v="0"/>
  </r>
  <r>
    <n v="45"/>
    <n v="41843"/>
    <s v="Family Chistmas Tree"/>
    <x v="8"/>
    <n v="3171"/>
    <n v="2025"/>
    <x v="1"/>
    <x v="0"/>
    <x v="0"/>
  </r>
  <r>
    <n v="46"/>
    <n v="77256"/>
    <s v="Time Machine from Back to the Future"/>
    <x v="9"/>
    <n v="367"/>
    <n v="2026"/>
    <x v="0"/>
    <x v="1"/>
    <x v="0"/>
  </r>
  <r>
    <n v="47"/>
    <n v="77242"/>
    <s v="Ferrari SF-24 F1 Race Car"/>
    <x v="9"/>
    <n v="275"/>
    <n v="2025"/>
    <x v="1"/>
    <x v="1"/>
    <x v="0"/>
  </r>
  <r>
    <n v="48"/>
    <n v="75192"/>
    <s v="Millennium Falcon"/>
    <x v="10"/>
    <n v="7541"/>
    <n v="2017"/>
    <x v="1"/>
    <x v="0"/>
    <x v="0"/>
  </r>
  <r>
    <n v="49"/>
    <n v="75371"/>
    <s v="Chewbacca"/>
    <x v="10"/>
    <n v="2319"/>
    <n v="2023"/>
    <x v="11"/>
    <x v="0"/>
    <x v="1"/>
  </r>
  <r>
    <n v="50"/>
    <n v="75308"/>
    <s v="R2-D2"/>
    <x v="10"/>
    <n v="2314"/>
    <n v="2021"/>
    <x v="11"/>
    <x v="1"/>
    <x v="1"/>
  </r>
  <r>
    <n v="51"/>
    <n v="75382"/>
    <s v="TIE Interceptor"/>
    <x v="10"/>
    <n v="1931"/>
    <n v="2024"/>
    <x v="1"/>
    <x v="0"/>
    <x v="0"/>
  </r>
  <r>
    <n v="52"/>
    <n v="75255"/>
    <s v="Yoda"/>
    <x v="10"/>
    <n v="1771"/>
    <n v="2019"/>
    <x v="8"/>
    <x v="1"/>
    <x v="1"/>
  </r>
  <r>
    <n v="53"/>
    <n v="75105"/>
    <s v="Millennium Falcon"/>
    <x v="10"/>
    <n v="1330"/>
    <n v="2015"/>
    <x v="3"/>
    <x v="1"/>
    <x v="1"/>
  </r>
  <r>
    <n v="54"/>
    <n v="75398"/>
    <s v="C-3PO"/>
    <x v="10"/>
    <n v="1138"/>
    <n v="2024"/>
    <x v="0"/>
    <x v="1"/>
    <x v="0"/>
  </r>
  <r>
    <n v="55"/>
    <n v="75318"/>
    <s v="The Child"/>
    <x v="10"/>
    <n v="1075"/>
    <n v="2020"/>
    <x v="10"/>
    <x v="1"/>
    <x v="1"/>
  </r>
  <r>
    <n v="56"/>
    <n v="75403"/>
    <s v="Grogu with Hover Pram"/>
    <x v="10"/>
    <n v="1048"/>
    <n v="2025"/>
    <x v="0"/>
    <x v="0"/>
    <x v="0"/>
  </r>
  <r>
    <n v="57"/>
    <n v="75430"/>
    <s v="Wicket the Ewok"/>
    <x v="10"/>
    <n v="1010"/>
    <n v="2025"/>
    <x v="1"/>
    <x v="0"/>
    <x v="0"/>
  </r>
  <r>
    <n v="58"/>
    <n v="75304"/>
    <s v="Darth Vader Helmet"/>
    <x v="10"/>
    <n v="834"/>
    <n v="2021"/>
    <x v="4"/>
    <x v="1"/>
    <x v="1"/>
  </r>
  <r>
    <n v="59"/>
    <n v="75429"/>
    <s v="AT-AT Driver Helmet"/>
    <x v="10"/>
    <n v="730"/>
    <n v="2025"/>
    <x v="1"/>
    <x v="0"/>
    <x v="0"/>
  </r>
  <r>
    <n v="60"/>
    <n v="75102"/>
    <s v="Poe's X-Wing Fighter"/>
    <x v="10"/>
    <n v="717"/>
    <n v="2015"/>
    <x v="2"/>
    <x v="1"/>
    <x v="1"/>
  </r>
  <r>
    <n v="61"/>
    <n v="75407"/>
    <s v="Star Wars Logo"/>
    <x v="10"/>
    <n v="700"/>
    <n v="2025"/>
    <x v="0"/>
    <x v="0"/>
    <x v="0"/>
  </r>
  <r>
    <n v="62"/>
    <n v="75276"/>
    <s v="Stormtrooper Helmet"/>
    <x v="10"/>
    <n v="647"/>
    <n v="2020"/>
    <x v="12"/>
    <x v="0"/>
    <x v="1"/>
  </r>
  <r>
    <n v="63"/>
    <n v="75277"/>
    <s v="Boba Fett Helmet"/>
    <x v="10"/>
    <n v="625"/>
    <n v="2020"/>
    <x v="8"/>
    <x v="0"/>
    <x v="1"/>
  </r>
  <r>
    <n v="64"/>
    <n v="75328"/>
    <s v="The Mandalorian Helmet"/>
    <x v="10"/>
    <n v="584"/>
    <n v="2022"/>
    <x v="1"/>
    <x v="1"/>
    <x v="0"/>
  </r>
  <r>
    <n v="65"/>
    <n v="75452"/>
    <s v="BB-8™ Astromech Droid"/>
    <x v="10"/>
    <n v="569"/>
    <n v="2026"/>
    <x v="0"/>
    <x v="1"/>
    <x v="0"/>
  </r>
  <r>
    <n v="66"/>
    <n v="75082"/>
    <s v="TIE Advanced Prototype"/>
    <x v="10"/>
    <n v="355"/>
    <n v="2015"/>
    <x v="6"/>
    <x v="1"/>
    <x v="1"/>
  </r>
  <r>
    <n v="67"/>
    <n v="75112"/>
    <s v="General Griveous"/>
    <x v="10"/>
    <n v="186"/>
    <n v="2015"/>
    <x v="6"/>
    <x v="1"/>
    <x v="1"/>
  </r>
  <r>
    <n v="68"/>
    <n v="75111"/>
    <s v="Darth Vader"/>
    <x v="10"/>
    <n v="160"/>
    <n v="2015"/>
    <x v="3"/>
    <x v="1"/>
    <x v="1"/>
  </r>
  <r>
    <n v="69"/>
    <n v="75107"/>
    <s v="Jango Fett"/>
    <x v="10"/>
    <n v="85"/>
    <n v="2015"/>
    <x v="6"/>
    <x v="1"/>
    <x v="1"/>
  </r>
  <r>
    <n v="70"/>
    <n v="75118"/>
    <s v="Captain Phasma"/>
    <x v="10"/>
    <n v="82"/>
    <n v="2016"/>
    <x v="3"/>
    <x v="1"/>
    <x v="1"/>
  </r>
  <r>
    <n v="71"/>
    <n v="75114"/>
    <s v="First Order Stormtrooper"/>
    <x v="10"/>
    <n v="81"/>
    <n v="2016"/>
    <x v="3"/>
    <x v="1"/>
    <x v="1"/>
  </r>
  <r>
    <n v="72"/>
    <n v="72037"/>
    <s v="Mario Kart - Mario &amp; Standard Kart"/>
    <x v="11"/>
    <n v="1972"/>
    <n v="2025"/>
    <x v="0"/>
    <x v="0"/>
    <x v="0"/>
  </r>
  <r>
    <n v="73"/>
    <n v="71426"/>
    <s v="Piranha Plant"/>
    <x v="11"/>
    <n v="540"/>
    <n v="2023"/>
    <x v="1"/>
    <x v="0"/>
    <x v="0"/>
  </r>
  <r>
    <n v="74"/>
    <n v="72046"/>
    <s v="Game Boy"/>
    <x v="11"/>
    <n v="421"/>
    <n v="2025"/>
    <x v="0"/>
    <x v="1"/>
    <x v="0"/>
  </r>
  <r>
    <n v="75"/>
    <n v="42110"/>
    <s v="Land Rover Defender"/>
    <x v="12"/>
    <n v="2573"/>
    <n v="2019"/>
    <x v="8"/>
    <x v="1"/>
    <x v="1"/>
  </r>
  <r>
    <n v="76"/>
    <n v="42109"/>
    <s v="App-Controlled To Gear Rally Car"/>
    <x v="12"/>
    <n v="463"/>
    <n v="2020"/>
    <x v="12"/>
    <x v="1"/>
    <x v="1"/>
  </r>
  <r>
    <n v="77"/>
    <n v="77256"/>
    <s v="Time Machine from Back to the Future"/>
    <x v="9"/>
    <n v="367"/>
    <n v="2026"/>
    <x v="0"/>
    <x v="1"/>
    <x v="0"/>
  </r>
  <r>
    <n v="78"/>
    <n v="43020"/>
    <s v="Fifa World Cup Official Trophy"/>
    <x v="13"/>
    <n v="2842"/>
    <n v="2026"/>
    <x v="0"/>
    <x v="0"/>
    <x v="0"/>
  </r>
  <r>
    <n v="79"/>
    <n v="11375"/>
    <s v="Ferrari F2004 &amp; Michael Shumacher"/>
    <x v="4"/>
    <n v="735"/>
    <n v="2026"/>
    <x v="0"/>
    <x v="1"/>
    <x v="0"/>
  </r>
  <r>
    <n v="80"/>
    <n v="21376"/>
    <s v="Orange Cat"/>
    <x v="5"/>
    <n v="1755"/>
    <n v="2026"/>
    <x v="0"/>
    <x v="0"/>
    <x v="0"/>
  </r>
  <r>
    <n v="81"/>
    <n v="72152"/>
    <s v="Pikachu and Poke Ball"/>
    <x v="14"/>
    <n v="2050"/>
    <n v="2026"/>
    <x v="0"/>
    <x v="0"/>
    <x v="0"/>
  </r>
  <r>
    <n v="82"/>
    <n v="72151"/>
    <s v="Eevee"/>
    <x v="14"/>
    <n v="587"/>
    <n v="2026"/>
    <x v="0"/>
    <x v="0"/>
    <x v="0"/>
  </r>
  <r>
    <n v="83"/>
    <n v="43019"/>
    <s v="Soccer Ball"/>
    <x v="13"/>
    <n v="1498"/>
    <n v="2026"/>
    <x v="0"/>
    <x v="1"/>
    <x v="0"/>
  </r>
  <r>
    <n v="84"/>
    <n v="11376"/>
    <s v="Ford Model T"/>
    <x v="4"/>
    <n v="1060"/>
    <n v="2026"/>
    <x v="0"/>
    <x v="1"/>
    <x v="0"/>
  </r>
  <r>
    <n v="85"/>
    <n v="77255"/>
    <s v="Lightning McQueen"/>
    <x v="9"/>
    <n v="270"/>
    <n v="2026"/>
    <x v="0"/>
    <x v="1"/>
    <x v="0"/>
  </r>
  <r>
    <n v="86"/>
    <n v="11378"/>
    <s v="Douglas™ DC-3™ PAN AM® Airliner"/>
    <x v="4"/>
    <n v="1903"/>
    <n v="2026"/>
    <x v="0"/>
    <x v="0"/>
    <x v="0"/>
  </r>
  <r>
    <n v="87"/>
    <n v="72050"/>
    <s v="Luigi &amp; Mach 8"/>
    <x v="11"/>
    <n v="2234"/>
    <n v="2026"/>
    <x v="0"/>
    <x v="0"/>
    <x v="0"/>
  </r>
  <r>
    <n v="88"/>
    <n v="76421"/>
    <s v="Dobby™ the House-Elf"/>
    <x v="15"/>
    <n v="403"/>
    <n v="2023"/>
    <x v="4"/>
    <x v="1"/>
    <x v="1"/>
  </r>
  <r>
    <n v="89"/>
    <n v="77252"/>
    <s v="APXGP Team Race Car from F1® The Movie"/>
    <x v="9"/>
    <n v="268"/>
    <n v="2026"/>
    <x v="0"/>
    <x v="0"/>
    <x v="0"/>
  </r>
  <r>
    <n v="90"/>
    <n v="77243"/>
    <s v="Oracle Red Bull Racing RB20 F1® Race Car"/>
    <x v="9"/>
    <n v="251"/>
    <n v="2025"/>
    <x v="1"/>
    <x v="0"/>
    <x v="0"/>
  </r>
  <r>
    <n v="91"/>
    <n v="77244"/>
    <s v="Mercedes-AMG F1® W15 Race Car"/>
    <x v="9"/>
    <n v="267"/>
    <n v="2025"/>
    <x v="1"/>
    <x v="0"/>
    <x v="0"/>
  </r>
  <r>
    <n v="92"/>
    <n v="43279"/>
    <s v="WALL-E and EVE"/>
    <x v="16"/>
    <n v="811"/>
    <n v="2025"/>
    <x v="0"/>
    <x v="0"/>
    <x v="0"/>
  </r>
  <r>
    <n v="93"/>
    <n v="75415"/>
    <s v="Kylo Ren™ Helmet"/>
    <x v="10"/>
    <n v="825"/>
    <n v="2025"/>
    <x v="1"/>
    <x v="0"/>
    <x v="0"/>
  </r>
  <r>
    <n v="94"/>
    <n v="75408"/>
    <s v="Jango Fett™ Helmet"/>
    <x v="10"/>
    <n v="616"/>
    <n v="2025"/>
    <x v="0"/>
    <x v="0"/>
    <x v="0"/>
  </r>
  <r>
    <n v="95"/>
    <n v="75305"/>
    <s v="Scout Trooper™ Helmet"/>
    <x v="10"/>
    <n v="471"/>
    <n v="2021"/>
    <x v="8"/>
    <x v="0"/>
    <x v="1"/>
  </r>
  <r>
    <n v="96"/>
    <n v="75327"/>
    <s v="Luke Skywalker™ (Red Five) Helmet"/>
    <x v="10"/>
    <n v="675"/>
    <n v="2022"/>
    <x v="10"/>
    <x v="0"/>
    <x v="1"/>
  </r>
  <r>
    <n v="97"/>
    <n v="75343"/>
    <s v="Dark Trooper™ Helmet"/>
    <x v="10"/>
    <n v="693"/>
    <n v="2022"/>
    <x v="10"/>
    <x v="0"/>
    <x v="1"/>
  </r>
  <r>
    <n v="98"/>
    <n v="75350"/>
    <s v="Clone Commander Cody™ Helmet"/>
    <x v="10"/>
    <n v="766"/>
    <n v="2023"/>
    <x v="11"/>
    <x v="0"/>
    <x v="1"/>
  </r>
  <r>
    <n v="99"/>
    <n v="75351"/>
    <s v="Princess Leia™ (Boushh™) Helmet"/>
    <x v="10"/>
    <n v="670"/>
    <n v="2023"/>
    <x v="11"/>
    <x v="0"/>
    <x v="1"/>
  </r>
  <r>
    <n v="100"/>
    <n v="75349"/>
    <s v="Captain Rex™ Helmet"/>
    <x v="10"/>
    <n v="854"/>
    <n v="2023"/>
    <x v="1"/>
    <x v="0"/>
    <x v="0"/>
  </r>
  <r>
    <n v="101"/>
    <n v="76327"/>
    <s v="Iron Man MK4 Bust"/>
    <x v="7"/>
    <n v="436"/>
    <n v="2025"/>
    <x v="1"/>
    <x v="0"/>
    <x v="0"/>
  </r>
  <r>
    <n v="102"/>
    <n v="71411"/>
    <s v="The Mighty Bowser™"/>
    <x v="11"/>
    <n v="2807"/>
    <n v="2022"/>
    <x v="4"/>
    <x v="0"/>
    <x v="1"/>
  </r>
  <r>
    <n v="103"/>
    <n v="76282"/>
    <s v="Rocket &amp; Baby Groot"/>
    <x v="7"/>
    <n v="566"/>
    <n v="2024"/>
    <x v="4"/>
    <x v="0"/>
    <x v="1"/>
  </r>
  <r>
    <n v="104"/>
    <n v="11373"/>
    <s v="The Lord of the Rings: Sauron's Helmet"/>
    <x v="4"/>
    <n v="538"/>
    <n v="2026"/>
    <x v="0"/>
    <x v="0"/>
    <x v="0"/>
  </r>
  <r>
    <n v="105"/>
    <n v="75274"/>
    <s v="TIE Fighter Pilot™ Helmet"/>
    <x v="10"/>
    <n v="724"/>
    <n v="2020"/>
    <x v="12"/>
    <x v="0"/>
    <x v="1"/>
  </r>
  <r>
    <n v="106"/>
    <n v="76239"/>
    <s v="LEGO® DC Batman™ Batmobile™ Tumbler: Scarecrow™ Showdown"/>
    <x v="17"/>
    <n v="422"/>
    <n v="2021"/>
    <x v="8"/>
    <x v="0"/>
    <x v="1"/>
  </r>
  <r>
    <n v="107"/>
    <n v="40795"/>
    <s v="Luke Skywalker™ (Rebel Pilot)"/>
    <x v="10"/>
    <n v="138"/>
    <n v="2025"/>
    <x v="0"/>
    <x v="0"/>
    <x v="0"/>
  </r>
  <r>
    <n v="108"/>
    <n v="40861"/>
    <s v="Sulley, Mike and Boo Figures"/>
    <x v="8"/>
    <n v="303"/>
    <n v="2026"/>
    <x v="0"/>
    <x v="0"/>
    <x v="0"/>
  </r>
  <r>
    <n v="109"/>
    <n v="21062"/>
    <s v="Trevi Fountain"/>
    <x v="0"/>
    <n v="1880"/>
    <n v="2025"/>
    <x v="0"/>
    <x v="0"/>
    <x v="0"/>
  </r>
  <r>
    <n v="110"/>
    <n v="21058"/>
    <s v="Great Pyramid of Giza"/>
    <x v="0"/>
    <n v="1476"/>
    <n v="2022"/>
    <x v="1"/>
    <x v="0"/>
    <x v="0"/>
  </r>
  <r>
    <n v="111"/>
    <n v="40953"/>
    <s v="London Bus"/>
    <x v="8"/>
    <n v="245"/>
    <n v="2026"/>
    <x v="0"/>
    <x v="0"/>
    <x v="0"/>
  </r>
  <r>
    <n v="112"/>
    <m/>
    <m/>
    <x v="18"/>
    <m/>
    <m/>
    <x v="13"/>
    <x v="2"/>
    <x v="2"/>
  </r>
  <r>
    <n v="113"/>
    <m/>
    <m/>
    <x v="18"/>
    <m/>
    <m/>
    <x v="13"/>
    <x v="2"/>
    <x v="2"/>
  </r>
  <r>
    <n v="114"/>
    <m/>
    <m/>
    <x v="18"/>
    <m/>
    <m/>
    <x v="13"/>
    <x v="2"/>
    <x v="2"/>
  </r>
  <r>
    <n v="115"/>
    <m/>
    <m/>
    <x v="18"/>
    <m/>
    <m/>
    <x v="13"/>
    <x v="2"/>
    <x v="2"/>
  </r>
  <r>
    <n v="116"/>
    <m/>
    <m/>
    <x v="18"/>
    <m/>
    <m/>
    <x v="13"/>
    <x v="2"/>
    <x v="2"/>
  </r>
  <r>
    <n v="117"/>
    <m/>
    <m/>
    <x v="18"/>
    <m/>
    <m/>
    <x v="13"/>
    <x v="2"/>
    <x v="2"/>
  </r>
  <r>
    <n v="118"/>
    <m/>
    <m/>
    <x v="18"/>
    <m/>
    <m/>
    <x v="13"/>
    <x v="2"/>
    <x v="2"/>
  </r>
  <r>
    <n v="119"/>
    <m/>
    <m/>
    <x v="18"/>
    <m/>
    <m/>
    <x v="13"/>
    <x v="2"/>
    <x v="2"/>
  </r>
  <r>
    <n v="120"/>
    <m/>
    <m/>
    <x v="18"/>
    <m/>
    <m/>
    <x v="13"/>
    <x v="2"/>
    <x v="2"/>
  </r>
  <r>
    <n v="121"/>
    <m/>
    <m/>
    <x v="18"/>
    <m/>
    <m/>
    <x v="13"/>
    <x v="2"/>
    <x v="2"/>
  </r>
  <r>
    <n v="122"/>
    <m/>
    <m/>
    <x v="18"/>
    <m/>
    <m/>
    <x v="13"/>
    <x v="2"/>
    <x v="2"/>
  </r>
  <r>
    <n v="123"/>
    <m/>
    <m/>
    <x v="18"/>
    <m/>
    <m/>
    <x v="13"/>
    <x v="2"/>
    <x v="2"/>
  </r>
  <r>
    <n v="124"/>
    <m/>
    <m/>
    <x v="18"/>
    <m/>
    <m/>
    <x v="13"/>
    <x v="2"/>
    <x v="2"/>
  </r>
  <r>
    <n v="125"/>
    <m/>
    <m/>
    <x v="18"/>
    <m/>
    <m/>
    <x v="13"/>
    <x v="2"/>
    <x v="2"/>
  </r>
  <r>
    <n v="126"/>
    <m/>
    <m/>
    <x v="18"/>
    <m/>
    <m/>
    <x v="13"/>
    <x v="2"/>
    <x v="2"/>
  </r>
  <r>
    <n v="127"/>
    <m/>
    <m/>
    <x v="18"/>
    <m/>
    <m/>
    <x v="13"/>
    <x v="2"/>
    <x v="2"/>
  </r>
  <r>
    <n v="128"/>
    <m/>
    <m/>
    <x v="18"/>
    <m/>
    <m/>
    <x v="13"/>
    <x v="2"/>
    <x v="2"/>
  </r>
  <r>
    <n v="129"/>
    <m/>
    <m/>
    <x v="18"/>
    <m/>
    <m/>
    <x v="13"/>
    <x v="2"/>
    <x v="2"/>
  </r>
  <r>
    <n v="130"/>
    <m/>
    <m/>
    <x v="18"/>
    <m/>
    <m/>
    <x v="13"/>
    <x v="2"/>
    <x v="2"/>
  </r>
  <r>
    <n v="131"/>
    <m/>
    <m/>
    <x v="18"/>
    <m/>
    <m/>
    <x v="13"/>
    <x v="2"/>
    <x v="2"/>
  </r>
  <r>
    <n v="132"/>
    <m/>
    <m/>
    <x v="18"/>
    <m/>
    <m/>
    <x v="13"/>
    <x v="2"/>
    <x v="2"/>
  </r>
  <r>
    <n v="133"/>
    <m/>
    <m/>
    <x v="18"/>
    <m/>
    <m/>
    <x v="13"/>
    <x v="2"/>
    <x v="2"/>
  </r>
  <r>
    <n v="134"/>
    <m/>
    <m/>
    <x v="18"/>
    <m/>
    <m/>
    <x v="13"/>
    <x v="2"/>
    <x v="2"/>
  </r>
  <r>
    <n v="135"/>
    <m/>
    <m/>
    <x v="18"/>
    <m/>
    <m/>
    <x v="13"/>
    <x v="2"/>
    <x v="2"/>
  </r>
  <r>
    <n v="136"/>
    <m/>
    <m/>
    <x v="18"/>
    <m/>
    <m/>
    <x v="13"/>
    <x v="2"/>
    <x v="2"/>
  </r>
  <r>
    <n v="137"/>
    <m/>
    <m/>
    <x v="18"/>
    <m/>
    <m/>
    <x v="13"/>
    <x v="2"/>
    <x v="2"/>
  </r>
  <r>
    <n v="138"/>
    <m/>
    <m/>
    <x v="18"/>
    <m/>
    <m/>
    <x v="13"/>
    <x v="2"/>
    <x v="2"/>
  </r>
  <r>
    <n v="139"/>
    <m/>
    <m/>
    <x v="18"/>
    <m/>
    <m/>
    <x v="13"/>
    <x v="2"/>
    <x v="2"/>
  </r>
  <r>
    <n v="140"/>
    <m/>
    <m/>
    <x v="18"/>
    <m/>
    <m/>
    <x v="13"/>
    <x v="2"/>
    <x v="2"/>
  </r>
  <r>
    <n v="141"/>
    <m/>
    <m/>
    <x v="18"/>
    <m/>
    <m/>
    <x v="13"/>
    <x v="2"/>
    <x v="2"/>
  </r>
  <r>
    <n v="142"/>
    <m/>
    <m/>
    <x v="18"/>
    <m/>
    <m/>
    <x v="13"/>
    <x v="2"/>
    <x v="2"/>
  </r>
  <r>
    <n v="143"/>
    <m/>
    <m/>
    <x v="18"/>
    <m/>
    <m/>
    <x v="13"/>
    <x v="2"/>
    <x v="2"/>
  </r>
  <r>
    <n v="144"/>
    <m/>
    <m/>
    <x v="18"/>
    <m/>
    <m/>
    <x v="13"/>
    <x v="2"/>
    <x v="2"/>
  </r>
  <r>
    <n v="145"/>
    <m/>
    <m/>
    <x v="18"/>
    <m/>
    <m/>
    <x v="13"/>
    <x v="2"/>
    <x v="2"/>
  </r>
  <r>
    <n v="146"/>
    <m/>
    <m/>
    <x v="18"/>
    <m/>
    <m/>
    <x v="13"/>
    <x v="2"/>
    <x v="2"/>
  </r>
  <r>
    <n v="147"/>
    <m/>
    <m/>
    <x v="18"/>
    <m/>
    <m/>
    <x v="13"/>
    <x v="2"/>
    <x v="2"/>
  </r>
  <r>
    <n v="148"/>
    <m/>
    <m/>
    <x v="18"/>
    <m/>
    <m/>
    <x v="13"/>
    <x v="2"/>
    <x v="2"/>
  </r>
  <r>
    <n v="149"/>
    <m/>
    <m/>
    <x v="18"/>
    <m/>
    <m/>
    <x v="13"/>
    <x v="2"/>
    <x v="2"/>
  </r>
  <r>
    <n v="150"/>
    <m/>
    <m/>
    <x v="18"/>
    <m/>
    <m/>
    <x v="13"/>
    <x v="2"/>
    <x v="2"/>
  </r>
  <r>
    <n v="151"/>
    <m/>
    <m/>
    <x v="18"/>
    <m/>
    <m/>
    <x v="13"/>
    <x v="2"/>
    <x v="2"/>
  </r>
  <r>
    <n v="152"/>
    <m/>
    <m/>
    <x v="18"/>
    <m/>
    <m/>
    <x v="13"/>
    <x v="2"/>
    <x v="2"/>
  </r>
  <r>
    <n v="153"/>
    <m/>
    <m/>
    <x v="18"/>
    <m/>
    <m/>
    <x v="13"/>
    <x v="2"/>
    <x v="2"/>
  </r>
  <r>
    <n v="154"/>
    <m/>
    <m/>
    <x v="18"/>
    <m/>
    <m/>
    <x v="13"/>
    <x v="2"/>
    <x v="2"/>
  </r>
  <r>
    <n v="155"/>
    <m/>
    <m/>
    <x v="18"/>
    <m/>
    <m/>
    <x v="13"/>
    <x v="2"/>
    <x v="2"/>
  </r>
  <r>
    <n v="156"/>
    <m/>
    <m/>
    <x v="18"/>
    <m/>
    <m/>
    <x v="13"/>
    <x v="2"/>
    <x v="2"/>
  </r>
  <r>
    <n v="157"/>
    <m/>
    <m/>
    <x v="18"/>
    <m/>
    <m/>
    <x v="13"/>
    <x v="2"/>
    <x v="2"/>
  </r>
  <r>
    <n v="158"/>
    <m/>
    <m/>
    <x v="18"/>
    <m/>
    <m/>
    <x v="13"/>
    <x v="2"/>
    <x v="2"/>
  </r>
  <r>
    <n v="159"/>
    <m/>
    <m/>
    <x v="18"/>
    <m/>
    <m/>
    <x v="13"/>
    <x v="2"/>
    <x v="2"/>
  </r>
  <r>
    <n v="160"/>
    <m/>
    <m/>
    <x v="18"/>
    <m/>
    <m/>
    <x v="13"/>
    <x v="2"/>
    <x v="2"/>
  </r>
  <r>
    <n v="161"/>
    <m/>
    <m/>
    <x v="18"/>
    <m/>
    <m/>
    <x v="13"/>
    <x v="2"/>
    <x v="2"/>
  </r>
  <r>
    <n v="162"/>
    <m/>
    <m/>
    <x v="18"/>
    <m/>
    <m/>
    <x v="13"/>
    <x v="2"/>
    <x v="2"/>
  </r>
  <r>
    <n v="163"/>
    <m/>
    <m/>
    <x v="18"/>
    <m/>
    <m/>
    <x v="13"/>
    <x v="2"/>
    <x v="2"/>
  </r>
  <r>
    <n v="164"/>
    <m/>
    <m/>
    <x v="18"/>
    <m/>
    <m/>
    <x v="13"/>
    <x v="2"/>
    <x v="2"/>
  </r>
  <r>
    <n v="165"/>
    <m/>
    <m/>
    <x v="18"/>
    <m/>
    <m/>
    <x v="13"/>
    <x v="2"/>
    <x v="2"/>
  </r>
  <r>
    <n v="166"/>
    <m/>
    <m/>
    <x v="18"/>
    <m/>
    <m/>
    <x v="13"/>
    <x v="2"/>
    <x v="2"/>
  </r>
  <r>
    <n v="167"/>
    <m/>
    <m/>
    <x v="18"/>
    <m/>
    <m/>
    <x v="13"/>
    <x v="2"/>
    <x v="2"/>
  </r>
  <r>
    <n v="168"/>
    <m/>
    <m/>
    <x v="18"/>
    <m/>
    <m/>
    <x v="13"/>
    <x v="2"/>
    <x v="2"/>
  </r>
  <r>
    <n v="169"/>
    <m/>
    <m/>
    <x v="18"/>
    <m/>
    <m/>
    <x v="13"/>
    <x v="2"/>
    <x v="2"/>
  </r>
  <r>
    <n v="170"/>
    <m/>
    <m/>
    <x v="18"/>
    <m/>
    <m/>
    <x v="13"/>
    <x v="2"/>
    <x v="2"/>
  </r>
  <r>
    <n v="171"/>
    <m/>
    <m/>
    <x v="18"/>
    <m/>
    <m/>
    <x v="13"/>
    <x v="2"/>
    <x v="2"/>
  </r>
  <r>
    <n v="172"/>
    <m/>
    <m/>
    <x v="18"/>
    <m/>
    <m/>
    <x v="13"/>
    <x v="2"/>
    <x v="2"/>
  </r>
  <r>
    <n v="173"/>
    <m/>
    <m/>
    <x v="18"/>
    <m/>
    <m/>
    <x v="13"/>
    <x v="2"/>
    <x v="2"/>
  </r>
  <r>
    <n v="174"/>
    <m/>
    <m/>
    <x v="18"/>
    <m/>
    <m/>
    <x v="13"/>
    <x v="2"/>
    <x v="2"/>
  </r>
  <r>
    <n v="175"/>
    <m/>
    <m/>
    <x v="18"/>
    <m/>
    <m/>
    <x v="13"/>
    <x v="2"/>
    <x v="2"/>
  </r>
  <r>
    <n v="176"/>
    <m/>
    <m/>
    <x v="18"/>
    <m/>
    <m/>
    <x v="13"/>
    <x v="2"/>
    <x v="2"/>
  </r>
  <r>
    <n v="177"/>
    <m/>
    <m/>
    <x v="18"/>
    <m/>
    <m/>
    <x v="13"/>
    <x v="2"/>
    <x v="2"/>
  </r>
  <r>
    <n v="178"/>
    <m/>
    <m/>
    <x v="18"/>
    <m/>
    <m/>
    <x v="13"/>
    <x v="2"/>
    <x v="2"/>
  </r>
  <r>
    <n v="179"/>
    <m/>
    <m/>
    <x v="18"/>
    <m/>
    <m/>
    <x v="13"/>
    <x v="2"/>
    <x v="2"/>
  </r>
  <r>
    <n v="180"/>
    <m/>
    <m/>
    <x v="18"/>
    <m/>
    <m/>
    <x v="13"/>
    <x v="2"/>
    <x v="2"/>
  </r>
  <r>
    <n v="181"/>
    <m/>
    <m/>
    <x v="18"/>
    <m/>
    <m/>
    <x v="13"/>
    <x v="2"/>
    <x v="2"/>
  </r>
  <r>
    <n v="182"/>
    <m/>
    <m/>
    <x v="18"/>
    <m/>
    <m/>
    <x v="13"/>
    <x v="2"/>
    <x v="2"/>
  </r>
  <r>
    <n v="183"/>
    <m/>
    <m/>
    <x v="18"/>
    <m/>
    <m/>
    <x v="13"/>
    <x v="2"/>
    <x v="2"/>
  </r>
  <r>
    <n v="184"/>
    <m/>
    <m/>
    <x v="18"/>
    <m/>
    <m/>
    <x v="13"/>
    <x v="2"/>
    <x v="2"/>
  </r>
  <r>
    <n v="185"/>
    <m/>
    <m/>
    <x v="18"/>
    <m/>
    <m/>
    <x v="13"/>
    <x v="2"/>
    <x v="2"/>
  </r>
  <r>
    <n v="186"/>
    <m/>
    <m/>
    <x v="18"/>
    <m/>
    <m/>
    <x v="13"/>
    <x v="2"/>
    <x v="2"/>
  </r>
  <r>
    <n v="187"/>
    <m/>
    <m/>
    <x v="18"/>
    <m/>
    <m/>
    <x v="13"/>
    <x v="2"/>
    <x v="2"/>
  </r>
  <r>
    <n v="188"/>
    <m/>
    <m/>
    <x v="18"/>
    <m/>
    <m/>
    <x v="13"/>
    <x v="2"/>
    <x v="2"/>
  </r>
  <r>
    <n v="189"/>
    <m/>
    <m/>
    <x v="18"/>
    <m/>
    <m/>
    <x v="13"/>
    <x v="2"/>
    <x v="2"/>
  </r>
  <r>
    <n v="190"/>
    <m/>
    <m/>
    <x v="18"/>
    <m/>
    <m/>
    <x v="13"/>
    <x v="2"/>
    <x v="2"/>
  </r>
  <r>
    <n v="191"/>
    <m/>
    <m/>
    <x v="18"/>
    <m/>
    <m/>
    <x v="13"/>
    <x v="2"/>
    <x v="2"/>
  </r>
  <r>
    <n v="192"/>
    <m/>
    <m/>
    <x v="18"/>
    <m/>
    <m/>
    <x v="13"/>
    <x v="2"/>
    <x v="2"/>
  </r>
  <r>
    <n v="193"/>
    <m/>
    <m/>
    <x v="18"/>
    <m/>
    <m/>
    <x v="13"/>
    <x v="2"/>
    <x v="2"/>
  </r>
  <r>
    <n v="194"/>
    <m/>
    <m/>
    <x v="18"/>
    <m/>
    <m/>
    <x v="13"/>
    <x v="2"/>
    <x v="2"/>
  </r>
  <r>
    <n v="195"/>
    <m/>
    <m/>
    <x v="18"/>
    <m/>
    <m/>
    <x v="13"/>
    <x v="2"/>
    <x v="2"/>
  </r>
  <r>
    <n v="196"/>
    <m/>
    <m/>
    <x v="18"/>
    <m/>
    <m/>
    <x v="13"/>
    <x v="2"/>
    <x v="2"/>
  </r>
  <r>
    <n v="197"/>
    <m/>
    <m/>
    <x v="18"/>
    <m/>
    <m/>
    <x v="13"/>
    <x v="2"/>
    <x v="2"/>
  </r>
  <r>
    <n v="198"/>
    <m/>
    <m/>
    <x v="18"/>
    <m/>
    <m/>
    <x v="13"/>
    <x v="2"/>
    <x v="2"/>
  </r>
  <r>
    <n v="199"/>
    <m/>
    <m/>
    <x v="18"/>
    <m/>
    <m/>
    <x v="13"/>
    <x v="2"/>
    <x v="2"/>
  </r>
  <r>
    <n v="200"/>
    <m/>
    <m/>
    <x v="18"/>
    <m/>
    <m/>
    <x v="13"/>
    <x v="2"/>
    <x v="2"/>
  </r>
  <r>
    <n v="201"/>
    <m/>
    <m/>
    <x v="18"/>
    <m/>
    <m/>
    <x v="13"/>
    <x v="2"/>
    <x v="2"/>
  </r>
  <r>
    <n v="202"/>
    <m/>
    <m/>
    <x v="18"/>
    <m/>
    <m/>
    <x v="13"/>
    <x v="2"/>
    <x v="2"/>
  </r>
  <r>
    <n v="203"/>
    <m/>
    <m/>
    <x v="18"/>
    <m/>
    <m/>
    <x v="13"/>
    <x v="2"/>
    <x v="2"/>
  </r>
  <r>
    <n v="204"/>
    <m/>
    <m/>
    <x v="18"/>
    <m/>
    <m/>
    <x v="13"/>
    <x v="2"/>
    <x v="2"/>
  </r>
  <r>
    <n v="205"/>
    <m/>
    <m/>
    <x v="18"/>
    <m/>
    <m/>
    <x v="13"/>
    <x v="2"/>
    <x v="2"/>
  </r>
  <r>
    <n v="206"/>
    <m/>
    <m/>
    <x v="18"/>
    <m/>
    <m/>
    <x v="13"/>
    <x v="2"/>
    <x v="2"/>
  </r>
  <r>
    <n v="207"/>
    <m/>
    <m/>
    <x v="18"/>
    <m/>
    <m/>
    <x v="13"/>
    <x v="2"/>
    <x v="2"/>
  </r>
  <r>
    <n v="208"/>
    <m/>
    <m/>
    <x v="18"/>
    <m/>
    <m/>
    <x v="13"/>
    <x v="2"/>
    <x v="2"/>
  </r>
  <r>
    <n v="209"/>
    <m/>
    <m/>
    <x v="18"/>
    <m/>
    <m/>
    <x v="13"/>
    <x v="2"/>
    <x v="2"/>
  </r>
  <r>
    <n v="210"/>
    <m/>
    <m/>
    <x v="18"/>
    <m/>
    <m/>
    <x v="13"/>
    <x v="2"/>
    <x v="2"/>
  </r>
  <r>
    <n v="211"/>
    <m/>
    <m/>
    <x v="18"/>
    <m/>
    <m/>
    <x v="13"/>
    <x v="2"/>
    <x v="2"/>
  </r>
  <r>
    <n v="212"/>
    <m/>
    <m/>
    <x v="18"/>
    <m/>
    <m/>
    <x v="13"/>
    <x v="2"/>
    <x v="2"/>
  </r>
  <r>
    <n v="213"/>
    <m/>
    <m/>
    <x v="18"/>
    <m/>
    <m/>
    <x v="13"/>
    <x v="2"/>
    <x v="2"/>
  </r>
  <r>
    <n v="214"/>
    <m/>
    <m/>
    <x v="18"/>
    <m/>
    <m/>
    <x v="13"/>
    <x v="2"/>
    <x v="2"/>
  </r>
  <r>
    <n v="215"/>
    <m/>
    <m/>
    <x v="18"/>
    <m/>
    <m/>
    <x v="13"/>
    <x v="2"/>
    <x v="2"/>
  </r>
  <r>
    <n v="216"/>
    <m/>
    <m/>
    <x v="18"/>
    <m/>
    <m/>
    <x v="13"/>
    <x v="2"/>
    <x v="2"/>
  </r>
  <r>
    <n v="217"/>
    <m/>
    <m/>
    <x v="18"/>
    <m/>
    <m/>
    <x v="13"/>
    <x v="2"/>
    <x v="2"/>
  </r>
  <r>
    <n v="218"/>
    <m/>
    <m/>
    <x v="18"/>
    <m/>
    <m/>
    <x v="13"/>
    <x v="2"/>
    <x v="2"/>
  </r>
  <r>
    <n v="219"/>
    <m/>
    <m/>
    <x v="18"/>
    <m/>
    <m/>
    <x v="13"/>
    <x v="2"/>
    <x v="2"/>
  </r>
  <r>
    <n v="220"/>
    <m/>
    <m/>
    <x v="18"/>
    <m/>
    <m/>
    <x v="13"/>
    <x v="2"/>
    <x v="2"/>
  </r>
  <r>
    <n v="221"/>
    <m/>
    <m/>
    <x v="18"/>
    <m/>
    <m/>
    <x v="13"/>
    <x v="2"/>
    <x v="2"/>
  </r>
  <r>
    <n v="222"/>
    <m/>
    <m/>
    <x v="18"/>
    <m/>
    <m/>
    <x v="13"/>
    <x v="2"/>
    <x v="2"/>
  </r>
  <r>
    <n v="223"/>
    <m/>
    <m/>
    <x v="18"/>
    <m/>
    <m/>
    <x v="13"/>
    <x v="2"/>
    <x v="2"/>
  </r>
  <r>
    <n v="224"/>
    <m/>
    <m/>
    <x v="18"/>
    <m/>
    <m/>
    <x v="13"/>
    <x v="2"/>
    <x v="2"/>
  </r>
  <r>
    <n v="225"/>
    <m/>
    <m/>
    <x v="18"/>
    <m/>
    <m/>
    <x v="13"/>
    <x v="2"/>
    <x v="2"/>
  </r>
  <r>
    <n v="226"/>
    <m/>
    <m/>
    <x v="18"/>
    <m/>
    <m/>
    <x v="13"/>
    <x v="2"/>
    <x v="2"/>
  </r>
  <r>
    <n v="227"/>
    <m/>
    <m/>
    <x v="18"/>
    <m/>
    <m/>
    <x v="13"/>
    <x v="2"/>
    <x v="2"/>
  </r>
  <r>
    <n v="228"/>
    <m/>
    <m/>
    <x v="18"/>
    <m/>
    <m/>
    <x v="13"/>
    <x v="2"/>
    <x v="2"/>
  </r>
  <r>
    <n v="229"/>
    <m/>
    <m/>
    <x v="18"/>
    <m/>
    <m/>
    <x v="13"/>
    <x v="2"/>
    <x v="2"/>
  </r>
  <r>
    <n v="230"/>
    <m/>
    <m/>
    <x v="18"/>
    <m/>
    <m/>
    <x v="13"/>
    <x v="2"/>
    <x v="2"/>
  </r>
  <r>
    <n v="231"/>
    <m/>
    <m/>
    <x v="18"/>
    <m/>
    <m/>
    <x v="13"/>
    <x v="2"/>
    <x v="2"/>
  </r>
  <r>
    <n v="232"/>
    <m/>
    <m/>
    <x v="18"/>
    <m/>
    <m/>
    <x v="13"/>
    <x v="2"/>
    <x v="2"/>
  </r>
  <r>
    <n v="233"/>
    <m/>
    <m/>
    <x v="18"/>
    <m/>
    <m/>
    <x v="13"/>
    <x v="2"/>
    <x v="2"/>
  </r>
  <r>
    <n v="234"/>
    <m/>
    <m/>
    <x v="18"/>
    <m/>
    <m/>
    <x v="13"/>
    <x v="2"/>
    <x v="2"/>
  </r>
  <r>
    <n v="235"/>
    <m/>
    <m/>
    <x v="18"/>
    <m/>
    <m/>
    <x v="13"/>
    <x v="2"/>
    <x v="2"/>
  </r>
  <r>
    <n v="236"/>
    <m/>
    <m/>
    <x v="18"/>
    <m/>
    <m/>
    <x v="13"/>
    <x v="2"/>
    <x v="2"/>
  </r>
  <r>
    <n v="237"/>
    <m/>
    <m/>
    <x v="18"/>
    <m/>
    <m/>
    <x v="13"/>
    <x v="2"/>
    <x v="2"/>
  </r>
  <r>
    <n v="238"/>
    <m/>
    <m/>
    <x v="18"/>
    <m/>
    <m/>
    <x v="13"/>
    <x v="2"/>
    <x v="2"/>
  </r>
  <r>
    <n v="239"/>
    <m/>
    <m/>
    <x v="18"/>
    <m/>
    <m/>
    <x v="13"/>
    <x v="2"/>
    <x v="2"/>
  </r>
  <r>
    <n v="240"/>
    <m/>
    <m/>
    <x v="18"/>
    <m/>
    <m/>
    <x v="13"/>
    <x v="2"/>
    <x v="2"/>
  </r>
  <r>
    <n v="241"/>
    <m/>
    <m/>
    <x v="18"/>
    <m/>
    <m/>
    <x v="13"/>
    <x v="2"/>
    <x v="2"/>
  </r>
  <r>
    <n v="242"/>
    <m/>
    <m/>
    <x v="18"/>
    <m/>
    <m/>
    <x v="13"/>
    <x v="2"/>
    <x v="2"/>
  </r>
  <r>
    <n v="243"/>
    <m/>
    <m/>
    <x v="18"/>
    <m/>
    <m/>
    <x v="13"/>
    <x v="2"/>
    <x v="2"/>
  </r>
  <r>
    <n v="244"/>
    <m/>
    <m/>
    <x v="18"/>
    <m/>
    <m/>
    <x v="13"/>
    <x v="2"/>
    <x v="2"/>
  </r>
  <r>
    <n v="245"/>
    <m/>
    <m/>
    <x v="18"/>
    <m/>
    <m/>
    <x v="13"/>
    <x v="2"/>
    <x v="2"/>
  </r>
  <r>
    <n v="246"/>
    <m/>
    <m/>
    <x v="18"/>
    <m/>
    <m/>
    <x v="13"/>
    <x v="2"/>
    <x v="2"/>
  </r>
  <r>
    <n v="247"/>
    <m/>
    <m/>
    <x v="18"/>
    <m/>
    <m/>
    <x v="13"/>
    <x v="2"/>
    <x v="2"/>
  </r>
  <r>
    <n v="248"/>
    <m/>
    <m/>
    <x v="18"/>
    <m/>
    <m/>
    <x v="13"/>
    <x v="2"/>
    <x v="2"/>
  </r>
  <r>
    <n v="249"/>
    <m/>
    <m/>
    <x v="18"/>
    <m/>
    <m/>
    <x v="13"/>
    <x v="2"/>
    <x v="2"/>
  </r>
  <r>
    <n v="250"/>
    <m/>
    <m/>
    <x v="18"/>
    <m/>
    <m/>
    <x v="13"/>
    <x v="2"/>
    <x v="2"/>
  </r>
  <r>
    <n v="251"/>
    <m/>
    <m/>
    <x v="18"/>
    <m/>
    <m/>
    <x v="13"/>
    <x v="2"/>
    <x v="2"/>
  </r>
  <r>
    <n v="252"/>
    <m/>
    <m/>
    <x v="18"/>
    <m/>
    <m/>
    <x v="13"/>
    <x v="2"/>
    <x v="2"/>
  </r>
  <r>
    <n v="253"/>
    <m/>
    <m/>
    <x v="18"/>
    <m/>
    <m/>
    <x v="13"/>
    <x v="2"/>
    <x v="2"/>
  </r>
  <r>
    <n v="254"/>
    <m/>
    <m/>
    <x v="18"/>
    <m/>
    <m/>
    <x v="13"/>
    <x v="2"/>
    <x v="2"/>
  </r>
  <r>
    <n v="255"/>
    <m/>
    <m/>
    <x v="18"/>
    <m/>
    <m/>
    <x v="13"/>
    <x v="2"/>
    <x v="2"/>
  </r>
  <r>
    <n v="256"/>
    <m/>
    <m/>
    <x v="18"/>
    <m/>
    <m/>
    <x v="13"/>
    <x v="2"/>
    <x v="2"/>
  </r>
  <r>
    <n v="257"/>
    <m/>
    <m/>
    <x v="18"/>
    <m/>
    <m/>
    <x v="13"/>
    <x v="2"/>
    <x v="2"/>
  </r>
  <r>
    <m/>
    <m/>
    <m/>
    <x v="18"/>
    <m/>
    <m/>
    <x v="1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" cacheId="0" applyNumberFormats="0" applyBorderFormats="0" applyFontFormats="0" applyPatternFormats="0" applyAlignmentFormats="0" applyWidthHeightFormats="0" dataCaption="Values" updatedVersion="8" itemPrintTitles="1" indent="0" outline="1" outlineData="1">
  <location ref="A2:C31" firstHeaderRow="1" firstDataRow="2" firstDataCol="1"/>
  <pivotFields count="9">
    <pivotField showAll="0"/>
    <pivotField showAll="0"/>
    <pivotField dataField="1"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8"/>
        <item x="13"/>
        <item x="14"/>
        <item x="15"/>
        <item x="16"/>
        <item x="17"/>
        <item t="default"/>
      </items>
    </pivotField>
    <pivotField dataField="1"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2">
    <field x="7"/>
    <field x="3"/>
  </rowFields>
  <rowItems count="28">
    <i>
      <x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7"/>
    </i>
    <i r="1">
      <x v="18"/>
    </i>
    <i>
      <x v="1"/>
    </i>
    <i r="1">
      <x/>
    </i>
    <i r="1">
      <x v="1"/>
    </i>
    <i r="1">
      <x v="3"/>
    </i>
    <i r="1">
      <x v="4"/>
    </i>
    <i r="1">
      <x v="5"/>
    </i>
    <i r="1">
      <x v="9"/>
    </i>
    <i r="1">
      <x v="10"/>
    </i>
    <i r="1">
      <x v="11"/>
    </i>
    <i r="1">
      <x v="12"/>
    </i>
    <i r="1">
      <x v="14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ets" fld="2" subtotal="count" baseField="0" baseItem="0"/>
    <dataField name="Bricks" fld="4" baseField="3" baseItem="14" numFmtId="3"/>
  </dataFields>
  <formats count="4">
    <format dxfId="4">
      <pivotArea outline="0" fieldPosition="0"/>
    </format>
    <format dxfId="3">
      <pivotArea field="-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0" dataCaption="Values" updatedVersion="8" itemPrintTitles="1" indent="0" outline="1" outlineData="1">
  <location ref="I2:K17" firstHeaderRow="1" firstDataRow="2" firstDataCol="1"/>
  <pivotFields count="9">
    <pivotField showAll="0"/>
    <pivotField dataField="1" showAll="0"/>
    <pivotField showAll="0"/>
    <pivotField axis="axisRow" showAll="0">
      <items count="20">
        <item x="0"/>
        <item x="1"/>
        <item x="2"/>
        <item x="3"/>
        <item x="16"/>
        <item x="13"/>
        <item x="15"/>
        <item x="4"/>
        <item x="5"/>
        <item x="6"/>
        <item x="7"/>
        <item x="8"/>
        <item x="14"/>
        <item x="9"/>
        <item x="10"/>
        <item x="11"/>
        <item x="12"/>
        <item x="18"/>
        <item x="17"/>
        <item t="default"/>
      </items>
    </pivotField>
    <pivotField dataField="1" showAll="0"/>
    <pivotField showAll="0"/>
    <pivotField axis="axisRow" showAll="0">
      <items count="15">
        <item sd="0" x="5"/>
        <item sd="0" x="9"/>
        <item sd="0" x="7"/>
        <item sd="0" x="6"/>
        <item sd="0" x="3"/>
        <item sd="0" x="2"/>
        <item sd="0" x="12"/>
        <item sd="0" x="8"/>
        <item sd="0" x="10"/>
        <item sd="0" x="11"/>
        <item sd="0" x="4"/>
        <item sd="0" x="1"/>
        <item sd="0" x="0"/>
        <item h="1" sd="0" x="13"/>
        <item t="default" sd="0"/>
      </items>
    </pivotField>
    <pivotField showAll="0"/>
    <pivotField showAll="0"/>
  </pivotFields>
  <rowFields count="2">
    <field x="6"/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ets" fld="1" subtotal="count" baseField="0" baseItem="0"/>
    <dataField name="Bricks" fld="4" baseField="6" baseItem="0" numFmtId="3"/>
  </dataFields>
  <formats count="4">
    <format dxfId="8">
      <pivotArea outline="0" fieldPosition="0"/>
    </format>
    <format dxfId="7">
      <pivotArea field="-2" type="button" dataOnly="0" labelOnly="1" outline="0" axis="axisCol" fieldPosition="0"/>
    </format>
    <format dxfId="6">
      <pivotArea type="topRight" dataOnly="0" labelOnly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0" dataCaption="Values" updatedVersion="8" itemPrintTitles="1" indent="0" outline="1" outlineData="1">
  <location ref="E5:G25" firstHeaderRow="1" firstDataRow="2" firstDataCol="1" rowPageCount="2" colPageCount="1"/>
  <pivotFields count="9">
    <pivotField showAll="0"/>
    <pivotField showAll="0"/>
    <pivotField dataField="1"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8"/>
        <item x="13"/>
        <item x="14"/>
        <item x="15"/>
        <item x="16"/>
        <item x="17"/>
        <item t="default"/>
      </items>
    </pivotField>
    <pivotField dataField="1"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8" hier="-1"/>
    <pageField fld="7" hier="-1"/>
  </pageFields>
  <dataFields count="2">
    <dataField name="Sets" fld="2" subtotal="count" baseField="0" baseItem="0"/>
    <dataField name="Bricks" fld="4" baseField="3" baseItem="0" numFmtId="3"/>
  </dataFields>
  <formats count="4">
    <format dxfId="12">
      <pivotArea outline="0" fieldPosition="0"/>
    </format>
    <format dxfId="11">
      <pivotArea field="-2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3B30"/>
  </sheetPr>
  <dimension ref="B1:R56"/>
  <sheetViews>
    <sheetView showGridLines="0" zoomScaleNormal="100" workbookViewId="0">
      <selection activeCell="C22" sqref="C22"/>
    </sheetView>
  </sheetViews>
  <sheetFormatPr defaultColWidth="8.6328125" defaultRowHeight="14.5" x14ac:dyDescent="0.35"/>
  <cols>
    <col min="1" max="1" width="2" customWidth="1"/>
    <col min="2" max="2" width="15.453125" customWidth="1"/>
    <col min="3" max="3" width="5.6328125" customWidth="1"/>
    <col min="4" max="4" width="8.6328125" customWidth="1"/>
    <col min="5" max="5" width="5.6328125" customWidth="1"/>
    <col min="6" max="6" width="9.1796875" customWidth="1"/>
    <col min="7" max="7" width="5.6328125" customWidth="1"/>
    <col min="8" max="8" width="8.6328125" customWidth="1"/>
    <col min="9" max="9" width="6.6328125" customWidth="1"/>
    <col min="10" max="10" width="8.54296875" customWidth="1"/>
    <col min="11" max="11" width="2" customWidth="1"/>
    <col min="12" max="12" width="6.7265625" customWidth="1"/>
    <col min="13" max="13" width="8.6328125" customWidth="1"/>
    <col min="14" max="14" width="6.6328125" customWidth="1"/>
    <col min="15" max="15" width="8.6328125" customWidth="1"/>
    <col min="16" max="16" width="2" customWidth="1"/>
  </cols>
  <sheetData>
    <row r="1" spans="2:18" ht="6" customHeight="1" x14ac:dyDescent="0.35"/>
    <row r="2" spans="2:18" ht="33.75" customHeight="1" x14ac:dyDescent="0.35">
      <c r="B2" s="122" t="s">
        <v>175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</row>
    <row r="3" spans="2:18" ht="6" customHeight="1" thickBot="1" x14ac:dyDescent="0.4"/>
    <row r="4" spans="2:18" ht="15" customHeight="1" x14ac:dyDescent="0.35">
      <c r="B4" s="124" t="s">
        <v>0</v>
      </c>
      <c r="C4" s="124"/>
      <c r="D4" s="124" t="s">
        <v>1</v>
      </c>
      <c r="E4" s="124"/>
      <c r="F4" s="124" t="s">
        <v>2</v>
      </c>
      <c r="G4" s="124"/>
      <c r="H4" s="124" t="s">
        <v>3</v>
      </c>
      <c r="I4" s="124"/>
      <c r="J4" s="125" t="s">
        <v>4</v>
      </c>
      <c r="K4" s="126"/>
      <c r="L4" s="127"/>
    </row>
    <row r="5" spans="2:18" ht="31" x14ac:dyDescent="0.35">
      <c r="B5" s="115">
        <f>COUNTA(Inventory!C2:C1000)</f>
        <v>138</v>
      </c>
      <c r="C5" s="115"/>
      <c r="D5" s="116">
        <f>COUNTIF(Inventory!H2:H1000,"YES")</f>
        <v>66</v>
      </c>
      <c r="E5" s="116"/>
      <c r="F5" s="117">
        <f>COUNTIF(Inventory!H2:H1000,"NO")</f>
        <v>72</v>
      </c>
      <c r="G5" s="117"/>
      <c r="H5" s="118">
        <f ca="1">COUNTIF(Inventory!I2:I1000,"Not Retired")</f>
        <v>75</v>
      </c>
      <c r="I5" s="118"/>
      <c r="J5" s="119">
        <f ca="1">COUNTIF(Inventory!I2:I1000,"Retired")</f>
        <v>63</v>
      </c>
      <c r="K5" s="120"/>
      <c r="L5" s="121"/>
    </row>
    <row r="6" spans="2:18" ht="17.5" customHeight="1" x14ac:dyDescent="0.35">
      <c r="B6" s="114">
        <f>SUMIF(Inventory!E2:E1000,"&lt;&gt;"&amp;"",Inventory!E2:E1000)</f>
        <v>181466</v>
      </c>
      <c r="C6" s="114"/>
      <c r="D6" s="114">
        <f>SUMIF(Inventory!H2:H1000,"YES",Inventory!E2:E1000)</f>
        <v>76040</v>
      </c>
      <c r="E6" s="114"/>
      <c r="F6" s="114">
        <f>SUMIF(Inventory!H2:H1000,"NO",Inventory!E2:E1000)</f>
        <v>105426</v>
      </c>
      <c r="G6" s="114"/>
      <c r="H6" s="114">
        <f ca="1">SUMIFS(Inventory!E2:E1000,Inventory!I2:I1000,"Not Retired")</f>
        <v>114690</v>
      </c>
      <c r="I6" s="114"/>
      <c r="J6" s="77">
        <f ca="1">SUMIFS(Inventory!E2:E1000,Inventory!I2:I1000,"Retired")</f>
        <v>66776</v>
      </c>
      <c r="K6" s="78"/>
      <c r="L6" s="79"/>
      <c r="Q6" s="51"/>
      <c r="R6" s="61"/>
    </row>
    <row r="7" spans="2:18" x14ac:dyDescent="0.35">
      <c r="B7" s="104" t="s">
        <v>5</v>
      </c>
      <c r="C7" s="104"/>
      <c r="D7" s="104" t="s">
        <v>6</v>
      </c>
      <c r="E7" s="104"/>
      <c r="F7" s="105" t="s">
        <v>173</v>
      </c>
      <c r="G7" s="104"/>
      <c r="H7" s="104" t="s">
        <v>7</v>
      </c>
      <c r="I7" s="104"/>
      <c r="J7" s="80" t="s">
        <v>174</v>
      </c>
      <c r="K7" s="81"/>
      <c r="L7" s="82"/>
    </row>
    <row r="8" spans="2:18" ht="6" customHeight="1" thickBot="1" x14ac:dyDescent="0.4">
      <c r="B8" s="106"/>
      <c r="C8" s="106"/>
      <c r="D8" s="107"/>
      <c r="E8" s="107"/>
      <c r="F8" s="108"/>
      <c r="G8" s="108"/>
      <c r="H8" s="109"/>
      <c r="I8" s="109"/>
      <c r="J8" s="83"/>
      <c r="K8" s="84"/>
      <c r="L8" s="85"/>
    </row>
    <row r="9" spans="2:18" ht="6" customHeight="1" x14ac:dyDescent="0.35"/>
    <row r="10" spans="2:18" ht="19.5" customHeight="1" x14ac:dyDescent="0.35">
      <c r="B10" s="91" t="s">
        <v>8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</row>
    <row r="11" spans="2:18" ht="15.75" customHeight="1" x14ac:dyDescent="0.35">
      <c r="B11" s="103"/>
      <c r="C11" s="110" t="s">
        <v>9</v>
      </c>
      <c r="D11" s="110"/>
      <c r="E11" s="111" t="s">
        <v>10</v>
      </c>
      <c r="F11" s="111"/>
      <c r="G11" s="112" t="s">
        <v>11</v>
      </c>
      <c r="H11" s="112"/>
      <c r="I11" s="113" t="s">
        <v>12</v>
      </c>
      <c r="J11" s="113"/>
      <c r="K11" s="2"/>
      <c r="L11" s="87" t="s">
        <v>13</v>
      </c>
      <c r="M11" s="87"/>
      <c r="N11" s="89" t="s">
        <v>14</v>
      </c>
      <c r="O11" s="89"/>
    </row>
    <row r="12" spans="2:18" ht="15.75" customHeight="1" x14ac:dyDescent="0.35">
      <c r="B12" s="103"/>
      <c r="C12" s="3" t="s">
        <v>15</v>
      </c>
      <c r="D12" s="3" t="s">
        <v>16</v>
      </c>
      <c r="E12" s="4" t="s">
        <v>15</v>
      </c>
      <c r="F12" s="4" t="s">
        <v>16</v>
      </c>
      <c r="G12" s="1" t="s">
        <v>15</v>
      </c>
      <c r="H12" s="1" t="s">
        <v>16</v>
      </c>
      <c r="I12" s="5" t="s">
        <v>17</v>
      </c>
      <c r="J12" s="5" t="s">
        <v>18</v>
      </c>
      <c r="K12" s="2"/>
      <c r="L12" s="6" t="s">
        <v>15</v>
      </c>
      <c r="M12" s="6" t="s">
        <v>16</v>
      </c>
      <c r="N12" s="7" t="s">
        <v>15</v>
      </c>
      <c r="O12" s="7" t="s">
        <v>16</v>
      </c>
    </row>
    <row r="13" spans="2:18" ht="15" customHeight="1" x14ac:dyDescent="0.35">
      <c r="B13" s="8" t="s">
        <v>19</v>
      </c>
      <c r="C13" s="9">
        <f>COUNTIFS(Inventory!D2:D1000,B13,Inventory!H2:H1000,"YES")</f>
        <v>18</v>
      </c>
      <c r="D13" s="10">
        <f>SUMIFS(Inventory!E2:E1000,Inventory!D2:D1000,B13,Inventory!H2:H1000,"YES")</f>
        <v>12974</v>
      </c>
      <c r="E13" s="11">
        <f>COUNTIFS(Inventory!D2:D1000,B13,Inventory!H2:H1000,"NO")</f>
        <v>30</v>
      </c>
      <c r="F13" s="12">
        <f>SUMIFS(Inventory!E2:E1000,Inventory!D2:D1000,B13,Inventory!H2:H1000,"NO")</f>
        <v>32809</v>
      </c>
      <c r="G13" s="13">
        <f t="shared" ref="G13:G30" si="0">C13+E13</f>
        <v>48</v>
      </c>
      <c r="H13" s="14">
        <f t="shared" ref="H13:H30" si="1">D13+F13</f>
        <v>45783</v>
      </c>
      <c r="I13" s="15">
        <f t="shared" ref="I13:I31" si="2">IF(G13=0,"",C13/G13)</f>
        <v>0.375</v>
      </c>
      <c r="J13" s="15">
        <f t="shared" ref="J13:J31" si="3">IF(H13=0,"",D13/H13)</f>
        <v>0.2833802939955879</v>
      </c>
      <c r="K13" s="2"/>
      <c r="L13" s="16">
        <f ca="1">COUNTIFS(Inventory!D2:D1000,B13,Inventory!I2:I1000,"Not Retired")</f>
        <v>20</v>
      </c>
      <c r="M13" s="17">
        <f ca="1">SUMIFS(Inventory!E2:E1000,Inventory!D2:D1000,B13,Inventory!I2:I1000,"Not Retired")</f>
        <v>24838</v>
      </c>
      <c r="N13" s="18">
        <f ca="1">COUNTIFS(Inventory!D2:D1000,B13,Inventory!I2:I1000,"Retired")</f>
        <v>28</v>
      </c>
      <c r="O13" s="19">
        <f ca="1">SUMIFS(Inventory!E2:E1000,Inventory!D2:D1000,B13,Inventory!I2:I1000,"Retired")</f>
        <v>20945</v>
      </c>
    </row>
    <row r="14" spans="2:18" ht="15" customHeight="1" x14ac:dyDescent="0.35">
      <c r="B14" s="20" t="s">
        <v>20</v>
      </c>
      <c r="C14" s="21">
        <f>COUNTIFS(Inventory!D2:D1000,B14,Inventory!H2:H1000,"YES")</f>
        <v>14</v>
      </c>
      <c r="D14" s="22">
        <f>SUMIFS(Inventory!E2:E1000,Inventory!D2:D1000,B14,Inventory!H2:H1000,"YES")</f>
        <v>7272</v>
      </c>
      <c r="E14" s="23">
        <f>COUNTIFS(Inventory!D2:D1000,B14,Inventory!H2:H1000,"NO")</f>
        <v>8</v>
      </c>
      <c r="F14" s="24">
        <f>SUMIFS(Inventory!E2:E1000,Inventory!D2:D1000,B14,Inventory!H2:H1000,"NO")</f>
        <v>15014</v>
      </c>
      <c r="G14" s="25">
        <f t="shared" si="0"/>
        <v>22</v>
      </c>
      <c r="H14" s="26">
        <f t="shared" si="1"/>
        <v>22286</v>
      </c>
      <c r="I14" s="27">
        <f t="shared" si="2"/>
        <v>0.63636363636363635</v>
      </c>
      <c r="J14" s="27">
        <f t="shared" si="3"/>
        <v>0.32630350892937271</v>
      </c>
      <c r="K14" s="2"/>
      <c r="L14" s="28">
        <f ca="1">COUNTIFS(Inventory!D2:D1000,B14,Inventory!I2:I1000,"Not Retired")</f>
        <v>7</v>
      </c>
      <c r="M14" s="29">
        <f ca="1">SUMIFS(Inventory!E2:E1000,Inventory!D2:D1000,B14,Inventory!I2:I1000,"Not Retired")</f>
        <v>15472</v>
      </c>
      <c r="N14" s="30">
        <f ca="1">COUNTIFS(Inventory!D2:D1000,B14,Inventory!I2:I1000,"Retired")</f>
        <v>15</v>
      </c>
      <c r="O14" s="31">
        <f ca="1">SUMIFS(Inventory!E2:E1000,Inventory!D2:D1000,B14,Inventory!I2:I1000,"Retired")</f>
        <v>6814</v>
      </c>
    </row>
    <row r="15" spans="2:18" ht="15" customHeight="1" x14ac:dyDescent="0.35">
      <c r="B15" s="8" t="s">
        <v>21</v>
      </c>
      <c r="C15" s="9">
        <f>COUNTIFS(Inventory!D2:D1000,B15,Inventory!H2:H1000,"YES")</f>
        <v>8</v>
      </c>
      <c r="D15" s="10">
        <f>SUMIFS(Inventory!E2:E1000,Inventory!D2:D1000,B15,Inventory!H2:H1000,"YES")</f>
        <v>18844</v>
      </c>
      <c r="E15" s="11">
        <f>COUNTIFS(Inventory!D2:D1000,B15,Inventory!H2:H1000,"NO")</f>
        <v>8</v>
      </c>
      <c r="F15" s="12">
        <f>SUMIFS(Inventory!E2:E1000,Inventory!D2:D1000,B15,Inventory!H2:H1000,"NO")</f>
        <v>22865</v>
      </c>
      <c r="G15" s="13">
        <f t="shared" si="0"/>
        <v>16</v>
      </c>
      <c r="H15" s="14">
        <f t="shared" si="1"/>
        <v>41709</v>
      </c>
      <c r="I15" s="15">
        <f t="shared" si="2"/>
        <v>0.5</v>
      </c>
      <c r="J15" s="15">
        <f t="shared" si="3"/>
        <v>0.45179697427413745</v>
      </c>
      <c r="K15" s="2"/>
      <c r="L15" s="16">
        <f ca="1">COUNTIFS(Inventory!D2:D1000,B15,Inventory!I2:I1000,"Not Retired")</f>
        <v>13</v>
      </c>
      <c r="M15" s="17">
        <f ca="1">SUMIFS(Inventory!E2:E1000,Inventory!D2:D1000,B15,Inventory!I2:I1000,"Not Retired")</f>
        <v>34793</v>
      </c>
      <c r="N15" s="18">
        <f ca="1">COUNTIFS(Inventory!D2:D1000,B15,Inventory!I2:I1000,"Retired")</f>
        <v>3</v>
      </c>
      <c r="O15" s="19">
        <f ca="1">SUMIFS(Inventory!E2:E1000,Inventory!D2:D1000,B15,Inventory!I2:I1000,"Retired")</f>
        <v>6916</v>
      </c>
    </row>
    <row r="16" spans="2:18" ht="15" customHeight="1" x14ac:dyDescent="0.35">
      <c r="B16" s="20" t="s">
        <v>22</v>
      </c>
      <c r="C16" s="21">
        <f>COUNTIFS(Inventory!D2:D1000,B16,Inventory!H2:H1000,"YES")</f>
        <v>6</v>
      </c>
      <c r="D16" s="22">
        <f>SUMIFS(Inventory!E2:E1000,Inventory!D2:D1000,B16,Inventory!H2:H1000,"YES")</f>
        <v>8258</v>
      </c>
      <c r="E16" s="23">
        <f>COUNTIFS(Inventory!D2:D1000,B16,Inventory!H2:H1000,"NO")</f>
        <v>2</v>
      </c>
      <c r="F16" s="24">
        <f>SUMIFS(Inventory!E2:E1000,Inventory!D2:D1000,B16,Inventory!H2:H1000,"NO")</f>
        <v>2880</v>
      </c>
      <c r="G16" s="25">
        <f t="shared" si="0"/>
        <v>8</v>
      </c>
      <c r="H16" s="26">
        <f t="shared" si="1"/>
        <v>11138</v>
      </c>
      <c r="I16" s="27">
        <f t="shared" si="2"/>
        <v>0.75</v>
      </c>
      <c r="J16" s="27">
        <f t="shared" si="3"/>
        <v>0.74142574968576047</v>
      </c>
      <c r="K16" s="2"/>
      <c r="L16" s="28">
        <f ca="1">COUNTIFS(Inventory!D2:D1000,B16,Inventory!I2:I1000,"Not Retired")</f>
        <v>4</v>
      </c>
      <c r="M16" s="29">
        <f ca="1">SUMIFS(Inventory!E2:E1000,Inventory!D2:D1000,B16,Inventory!I2:I1000,"Not Retired")</f>
        <v>5203</v>
      </c>
      <c r="N16" s="30">
        <f ca="1">COUNTIFS(Inventory!D2:D1000,B16,Inventory!I2:I1000,"Retired")</f>
        <v>4</v>
      </c>
      <c r="O16" s="31">
        <f ca="1">SUMIFS(Inventory!E2:E1000,Inventory!D2:D1000,B16,Inventory!I2:I1000,"Retired")</f>
        <v>5935</v>
      </c>
    </row>
    <row r="17" spans="2:15" ht="15" customHeight="1" x14ac:dyDescent="0.35">
      <c r="B17" s="8" t="s">
        <v>23</v>
      </c>
      <c r="C17" s="9">
        <f>COUNTIFS(Inventory!D2:D1000,B17,Inventory!H2:H1000,"YES")</f>
        <v>4</v>
      </c>
      <c r="D17" s="10">
        <f>SUMIFS(Inventory!E2:E1000,Inventory!D2:D1000,B17,Inventory!H2:H1000,"YES")</f>
        <v>1259</v>
      </c>
      <c r="E17" s="11">
        <f>COUNTIFS(Inventory!D2:D1000,B17,Inventory!H2:H1000,"NO")</f>
        <v>5</v>
      </c>
      <c r="F17" s="12">
        <f>SUMIFS(Inventory!E2:E1000,Inventory!D2:D1000,B17,Inventory!H2:H1000,"NO")</f>
        <v>1565</v>
      </c>
      <c r="G17" s="13">
        <f t="shared" si="0"/>
        <v>9</v>
      </c>
      <c r="H17" s="14">
        <f t="shared" si="1"/>
        <v>2824</v>
      </c>
      <c r="I17" s="15">
        <f t="shared" si="2"/>
        <v>0.44444444444444442</v>
      </c>
      <c r="J17" s="15">
        <f t="shared" si="3"/>
        <v>0.44582152974504247</v>
      </c>
      <c r="K17" s="2"/>
      <c r="L17" s="16">
        <f ca="1">COUNTIFS(Inventory!D2:D1000,B17,Inventory!I2:I1000,"Not Retired")</f>
        <v>8</v>
      </c>
      <c r="M17" s="17">
        <f ca="1">SUMIFS(Inventory!E2:E1000,Inventory!D2:D1000,B17,Inventory!I2:I1000,"Not Retired")</f>
        <v>2260</v>
      </c>
      <c r="N17" s="18">
        <f ca="1">COUNTIFS(Inventory!D2:D1000,B17,Inventory!I2:I1000,"Retired")</f>
        <v>1</v>
      </c>
      <c r="O17" s="19">
        <f ca="1">SUMIFS(Inventory!E2:E1000,Inventory!D2:D1000,B17,Inventory!I2:I1000,"Retired")</f>
        <v>564</v>
      </c>
    </row>
    <row r="18" spans="2:15" ht="15" customHeight="1" x14ac:dyDescent="0.35">
      <c r="B18" s="20" t="s">
        <v>24</v>
      </c>
      <c r="C18" s="21">
        <f>COUNTIFS(Inventory!D2:D1000,B18,Inventory!H2:H1000,"YES")</f>
        <v>3</v>
      </c>
      <c r="D18" s="22">
        <f>SUMIFS(Inventory!E2:E1000,Inventory!D2:D1000,B18,Inventory!H2:H1000,"YES")</f>
        <v>2627</v>
      </c>
      <c r="E18" s="23">
        <f>COUNTIFS(Inventory!D2:D1000,B18,Inventory!H2:H1000,"NO")</f>
        <v>4</v>
      </c>
      <c r="F18" s="24">
        <f>SUMIFS(Inventory!E2:E1000,Inventory!D2:D1000,B18,Inventory!H2:H1000,"NO")</f>
        <v>8227</v>
      </c>
      <c r="G18" s="25">
        <f t="shared" si="0"/>
        <v>7</v>
      </c>
      <c r="H18" s="26">
        <f t="shared" si="1"/>
        <v>10854</v>
      </c>
      <c r="I18" s="27">
        <f t="shared" si="2"/>
        <v>0.42857142857142855</v>
      </c>
      <c r="J18" s="27">
        <f t="shared" si="3"/>
        <v>0.24203058780173209</v>
      </c>
      <c r="K18" s="2"/>
      <c r="L18" s="28">
        <f ca="1">COUNTIFS(Inventory!D2:D1000,B18,Inventory!I2:I1000,"Not Retired")</f>
        <v>4</v>
      </c>
      <c r="M18" s="29">
        <f ca="1">SUMIFS(Inventory!E2:E1000,Inventory!D2:D1000,B18,Inventory!I2:I1000,"Not Retired")</f>
        <v>5167</v>
      </c>
      <c r="N18" s="30">
        <f ca="1">COUNTIFS(Inventory!D2:D1000,B18,Inventory!I2:I1000,"Retired")</f>
        <v>3</v>
      </c>
      <c r="O18" s="31">
        <f ca="1">SUMIFS(Inventory!E2:E1000,Inventory!D2:D1000,B18,Inventory!I2:I1000,"Retired")</f>
        <v>5687</v>
      </c>
    </row>
    <row r="19" spans="2:15" ht="15" customHeight="1" x14ac:dyDescent="0.35">
      <c r="B19" s="8" t="s">
        <v>25</v>
      </c>
      <c r="C19" s="9">
        <f>COUNTIFS(Inventory!D2:D1000,B19,Inventory!H2:H1000,"YES")</f>
        <v>1</v>
      </c>
      <c r="D19" s="10">
        <f>SUMIFS(Inventory!E2:E1000,Inventory!D2:D1000,B19,Inventory!H2:H1000,"YES")</f>
        <v>436</v>
      </c>
      <c r="E19" s="11">
        <f>COUNTIFS(Inventory!D2:D1000,B19,Inventory!H2:H1000,"NO")</f>
        <v>3</v>
      </c>
      <c r="F19" s="12">
        <f>SUMIFS(Inventory!E2:E1000,Inventory!D2:D1000,B19,Inventory!H2:H1000,"NO")</f>
        <v>5912</v>
      </c>
      <c r="G19" s="13">
        <f t="shared" si="0"/>
        <v>4</v>
      </c>
      <c r="H19" s="14">
        <f t="shared" si="1"/>
        <v>6348</v>
      </c>
      <c r="I19" s="15">
        <f t="shared" si="2"/>
        <v>0.25</v>
      </c>
      <c r="J19" s="15">
        <f t="shared" si="3"/>
        <v>6.8683049779458091E-2</v>
      </c>
      <c r="K19" s="2"/>
      <c r="L19" s="16">
        <f ca="1">COUNTIFS(Inventory!D2:D1000,B19,Inventory!I2:I1000,"Not Retired")</f>
        <v>2</v>
      </c>
      <c r="M19" s="17">
        <f ca="1">SUMIFS(Inventory!E2:E1000,Inventory!D2:D1000,B19,Inventory!I2:I1000,"Not Retired")</f>
        <v>1733</v>
      </c>
      <c r="N19" s="18">
        <f ca="1">COUNTIFS(Inventory!D2:D1000,B19,Inventory!I2:I1000,"Retired")</f>
        <v>2</v>
      </c>
      <c r="O19" s="19">
        <f ca="1">SUMIFS(Inventory!E2:E1000,Inventory!D2:D1000,B19,Inventory!I2:I1000,"Retired")</f>
        <v>4615</v>
      </c>
    </row>
    <row r="20" spans="2:15" ht="15" customHeight="1" x14ac:dyDescent="0.35">
      <c r="B20" s="20" t="s">
        <v>26</v>
      </c>
      <c r="C20" s="21">
        <f>COUNTIFS(Inventory!D2:D1000,B20,Inventory!H2:H1000,"YES")</f>
        <v>3</v>
      </c>
      <c r="D20" s="22">
        <f>SUMIFS(Inventory!E2:E1000,Inventory!D2:D1000,B20,Inventory!H2:H1000,"YES")</f>
        <v>11439</v>
      </c>
      <c r="E20" s="23">
        <f>COUNTIFS(Inventory!D2:D1000,B20,Inventory!H2:H1000,"NO")</f>
        <v>0</v>
      </c>
      <c r="F20" s="24">
        <f>SUMIFS(Inventory!E2:E1000,Inventory!D2:D1000,B20,Inventory!H2:H1000,"NO")</f>
        <v>0</v>
      </c>
      <c r="G20" s="25">
        <f t="shared" si="0"/>
        <v>3</v>
      </c>
      <c r="H20" s="26">
        <f t="shared" si="1"/>
        <v>11439</v>
      </c>
      <c r="I20" s="27">
        <f t="shared" si="2"/>
        <v>1</v>
      </c>
      <c r="J20" s="27">
        <f t="shared" si="3"/>
        <v>1</v>
      </c>
      <c r="K20" s="2"/>
      <c r="L20" s="28">
        <f ca="1">COUNTIFS(Inventory!D2:D1000,B20,Inventory!I2:I1000,"Not Retired")</f>
        <v>0</v>
      </c>
      <c r="M20" s="29">
        <f ca="1">SUMIFS(Inventory!E2:E1000,Inventory!D2:D1000,B20,Inventory!I2:I1000,"Not Retired")</f>
        <v>0</v>
      </c>
      <c r="N20" s="30">
        <f ca="1">COUNTIFS(Inventory!D2:D1000,B20,Inventory!I2:I1000,"Retired")</f>
        <v>3</v>
      </c>
      <c r="O20" s="31">
        <f ca="1">SUMIFS(Inventory!E2:E1000,Inventory!D2:D1000,B20,Inventory!I2:I1000,"Retired")</f>
        <v>11439</v>
      </c>
    </row>
    <row r="21" spans="2:15" ht="15" customHeight="1" x14ac:dyDescent="0.35">
      <c r="B21" s="8" t="s">
        <v>27</v>
      </c>
      <c r="C21" s="9">
        <f>COUNTIFS(Inventory!D2:D1000,B21,Inventory!H2:H1000,"YES")</f>
        <v>2</v>
      </c>
      <c r="D21" s="10">
        <f>SUMIFS(Inventory!E2:E1000,Inventory!D2:D1000,B21,Inventory!H2:H1000,"YES")</f>
        <v>3036</v>
      </c>
      <c r="E21" s="11">
        <f>COUNTIFS(Inventory!D2:D1000,B21,Inventory!H2:H1000,"NO")</f>
        <v>0</v>
      </c>
      <c r="F21" s="12">
        <f>SUMIFS(Inventory!E2:E1000,Inventory!D2:D1000,B21,Inventory!H2:H1000,"NO")</f>
        <v>0</v>
      </c>
      <c r="G21" s="13">
        <f t="shared" si="0"/>
        <v>2</v>
      </c>
      <c r="H21" s="14">
        <f t="shared" si="1"/>
        <v>3036</v>
      </c>
      <c r="I21" s="15">
        <f t="shared" si="2"/>
        <v>1</v>
      </c>
      <c r="J21" s="15">
        <f t="shared" si="3"/>
        <v>1</v>
      </c>
      <c r="K21" s="2"/>
      <c r="L21" s="16">
        <f ca="1">COUNTIFS(Inventory!D2:D1000,B21,Inventory!I2:I1000,"Not Retired")</f>
        <v>0</v>
      </c>
      <c r="M21" s="17">
        <f ca="1">SUMIFS(Inventory!E2:E1000,Inventory!D2:D1000,B21,Inventory!I2:I1000,"Not Retired")</f>
        <v>0</v>
      </c>
      <c r="N21" s="18">
        <f ca="1">COUNTIFS(Inventory!D2:D1000,B21,Inventory!I2:I1000,"Retired")</f>
        <v>2</v>
      </c>
      <c r="O21" s="19">
        <f ca="1">SUMIFS(Inventory!E2:E1000,Inventory!D2:D1000,B21,Inventory!I2:I1000,"Retired")</f>
        <v>3036</v>
      </c>
    </row>
    <row r="22" spans="2:15" ht="15" customHeight="1" x14ac:dyDescent="0.35">
      <c r="B22" s="20" t="s">
        <v>28</v>
      </c>
      <c r="C22" s="21">
        <f>COUNTIFS(Inventory!D2:D1000,B22,Inventory!H2:H1000,"YES")</f>
        <v>3</v>
      </c>
      <c r="D22" s="22">
        <f>SUMIFS(Inventory!E2:E1000,Inventory!D2:D1000,B22,Inventory!H2:H1000,"YES")</f>
        <v>5224</v>
      </c>
      <c r="E22" s="23">
        <f>COUNTIFS(Inventory!D2:D1000,B22,Inventory!H2:H1000,"NO")</f>
        <v>4</v>
      </c>
      <c r="F22" s="24">
        <f>SUMIFS(Inventory!E2:E1000,Inventory!D2:D1000,B22,Inventory!H2:H1000,"NO")</f>
        <v>3972</v>
      </c>
      <c r="G22" s="25">
        <f t="shared" si="0"/>
        <v>7</v>
      </c>
      <c r="H22" s="26">
        <f t="shared" si="1"/>
        <v>9196</v>
      </c>
      <c r="I22" s="27">
        <f t="shared" si="2"/>
        <v>0.42857142857142855</v>
      </c>
      <c r="J22" s="27">
        <f t="shared" si="3"/>
        <v>0.56807307525010875</v>
      </c>
      <c r="K22" s="2"/>
      <c r="L22" s="28">
        <f ca="1">COUNTIFS(Inventory!D2:D1000,B22,Inventory!I2:I1000,"Not Retired")</f>
        <v>7</v>
      </c>
      <c r="M22" s="29">
        <f ca="1">SUMIFS(Inventory!E2:E1000,Inventory!D2:D1000,B22,Inventory!I2:I1000,"Not Retired")</f>
        <v>9196</v>
      </c>
      <c r="N22" s="30">
        <f ca="1">COUNTIFS(Inventory!D2:D1000,B22,Inventory!I2:I1000,"Retired")</f>
        <v>0</v>
      </c>
      <c r="O22" s="31">
        <f ca="1">SUMIFS(Inventory!E2:E1000,Inventory!D2:D1000,B22,Inventory!I2:I1000,"Retired")</f>
        <v>0</v>
      </c>
    </row>
    <row r="23" spans="2:15" ht="15" customHeight="1" x14ac:dyDescent="0.35">
      <c r="B23" s="8" t="s">
        <v>29</v>
      </c>
      <c r="C23" s="9">
        <f>COUNTIFS(Inventory!D2:D1000,B23,Inventory!H2:H1000,"YES")</f>
        <v>1</v>
      </c>
      <c r="D23" s="10">
        <f>SUMIFS(Inventory!E2:E1000,Inventory!D2:D1000,B23,Inventory!H2:H1000,"YES")</f>
        <v>245</v>
      </c>
      <c r="E23" s="11">
        <f>COUNTIFS(Inventory!D2:D1000,B23,Inventory!H2:H1000,"NO")</f>
        <v>3</v>
      </c>
      <c r="F23" s="12">
        <f>SUMIFS(Inventory!E2:E1000,Inventory!D2:D1000,B23,Inventory!H2:H1000,"NO")</f>
        <v>7976</v>
      </c>
      <c r="G23" s="13">
        <f t="shared" si="0"/>
        <v>4</v>
      </c>
      <c r="H23" s="14">
        <f t="shared" si="1"/>
        <v>8221</v>
      </c>
      <c r="I23" s="15">
        <f t="shared" si="2"/>
        <v>0.25</v>
      </c>
      <c r="J23" s="15">
        <f t="shared" si="3"/>
        <v>2.9801727283785429E-2</v>
      </c>
      <c r="K23" s="2"/>
      <c r="L23" s="16">
        <f ca="1">COUNTIFS(Inventory!D2:D1000,B23,Inventory!I2:I1000,"Not Retired")</f>
        <v>4</v>
      </c>
      <c r="M23" s="17">
        <f ca="1">SUMIFS(Inventory!E2:E1000,Inventory!D2:D1000,B23,Inventory!I2:I1000,"Not Retired")</f>
        <v>8221</v>
      </c>
      <c r="N23" s="18">
        <f ca="1">COUNTIFS(Inventory!D2:D1000,B23,Inventory!I2:I1000,"Retired")</f>
        <v>0</v>
      </c>
      <c r="O23" s="19">
        <f ca="1">SUMIFS(Inventory!E2:E1000,Inventory!D2:D1000,B23,Inventory!I2:I1000,"Retired")</f>
        <v>0</v>
      </c>
    </row>
    <row r="24" spans="2:15" ht="15" customHeight="1" x14ac:dyDescent="0.35">
      <c r="B24" s="20" t="s">
        <v>30</v>
      </c>
      <c r="C24" s="21">
        <f>COUNTIFS(Inventory!D2:D1000,B24,Inventory!H2:H1000,"YES")</f>
        <v>0</v>
      </c>
      <c r="D24" s="22">
        <f>SUMIFS(Inventory!E2:E1000,Inventory!D2:D1000,B24,Inventory!H2:H1000,"YES")</f>
        <v>0</v>
      </c>
      <c r="E24" s="23">
        <f>COUNTIFS(Inventory!D2:D1000,B24,Inventory!H2:H1000,"NO")</f>
        <v>2</v>
      </c>
      <c r="F24" s="24">
        <f>SUMIFS(Inventory!E2:E1000,Inventory!D2:D1000,B24,Inventory!H2:H1000,"NO")</f>
        <v>2637</v>
      </c>
      <c r="G24" s="25">
        <f t="shared" si="0"/>
        <v>2</v>
      </c>
      <c r="H24" s="26">
        <f t="shared" si="1"/>
        <v>2637</v>
      </c>
      <c r="I24" s="27">
        <f t="shared" si="2"/>
        <v>0</v>
      </c>
      <c r="J24" s="27">
        <f t="shared" si="3"/>
        <v>0</v>
      </c>
      <c r="K24" s="2"/>
      <c r="L24" s="28">
        <f ca="1">COUNTIFS(Inventory!D2:D1000,B24,Inventory!I2:I1000,"Not Retired")</f>
        <v>2</v>
      </c>
      <c r="M24" s="29">
        <f ca="1">SUMIFS(Inventory!E2:E1000,Inventory!D2:D1000,B24,Inventory!I2:I1000,"Not Retired")</f>
        <v>2637</v>
      </c>
      <c r="N24" s="30">
        <f ca="1">COUNTIFS(Inventory!D2:D1000,B24,Inventory!I2:I1000,"Retired")</f>
        <v>0</v>
      </c>
      <c r="O24" s="31">
        <f ca="1">SUMIFS(Inventory!E2:E1000,Inventory!D2:D1000,B24,Inventory!I2:I1000,"Retired")</f>
        <v>0</v>
      </c>
    </row>
    <row r="25" spans="2:15" ht="15" customHeight="1" x14ac:dyDescent="0.35">
      <c r="B25" s="8" t="s">
        <v>31</v>
      </c>
      <c r="C25" s="9">
        <f>COUNTIFS(Inventory!D2:D1000,B25,Inventory!H2:H1000,"YES")</f>
        <v>0</v>
      </c>
      <c r="D25" s="10">
        <f>SUMIFS(Inventory!E2:E1000,Inventory!D2:D1000,B25,Inventory!H2:H1000,"YES")</f>
        <v>0</v>
      </c>
      <c r="E25" s="11">
        <f>COUNTIFS(Inventory!D2:D1000,B25,Inventory!H2:H1000,"NO")</f>
        <v>1</v>
      </c>
      <c r="F25" s="12">
        <f>SUMIFS(Inventory!E2:E1000,Inventory!D2:D1000,B25,Inventory!H2:H1000,"NO")</f>
        <v>811</v>
      </c>
      <c r="G25" s="13">
        <f t="shared" si="0"/>
        <v>1</v>
      </c>
      <c r="H25" s="14">
        <f t="shared" si="1"/>
        <v>811</v>
      </c>
      <c r="I25" s="15">
        <f t="shared" si="2"/>
        <v>0</v>
      </c>
      <c r="J25" s="15">
        <f t="shared" si="3"/>
        <v>0</v>
      </c>
      <c r="K25" s="2"/>
      <c r="L25" s="16">
        <f ca="1">COUNTIFS(Inventory!D2:D1000,B25,Inventory!I2:I1000,"Not Retired")</f>
        <v>1</v>
      </c>
      <c r="M25" s="17">
        <f ca="1">SUMIFS(Inventory!E2:E1000,Inventory!D2:D1000,B25,Inventory!I2:I1000,"Not Retired")</f>
        <v>811</v>
      </c>
      <c r="N25" s="18">
        <f ca="1">COUNTIFS(Inventory!D2:D1000,B25,Inventory!I2:I1000,"Retired")</f>
        <v>0</v>
      </c>
      <c r="O25" s="19">
        <f ca="1">SUMIFS(Inventory!E2:E1000,Inventory!D2:D1000,B25,Inventory!I2:I1000,"Retired")</f>
        <v>0</v>
      </c>
    </row>
    <row r="26" spans="2:15" ht="15" customHeight="1" x14ac:dyDescent="0.35">
      <c r="B26" s="20" t="s">
        <v>32</v>
      </c>
      <c r="C26" s="21">
        <f>COUNTIFS(Inventory!D2:D1000,B26,Inventory!H2:H1000,"YES")</f>
        <v>1</v>
      </c>
      <c r="D26" s="22">
        <f>SUMIFS(Inventory!E2:E1000,Inventory!D2:D1000,B26,Inventory!H2:H1000,"YES")</f>
        <v>3145</v>
      </c>
      <c r="E26" s="23">
        <f>COUNTIFS(Inventory!D2:D1000,B26,Inventory!H2:H1000,"NO")</f>
        <v>0</v>
      </c>
      <c r="F26" s="24">
        <f>SUMIFS(Inventory!E2:E1000,Inventory!D2:D1000,B26,Inventory!H2:H1000,"NO")</f>
        <v>0</v>
      </c>
      <c r="G26" s="25">
        <f t="shared" si="0"/>
        <v>1</v>
      </c>
      <c r="H26" s="26">
        <f t="shared" si="1"/>
        <v>3145</v>
      </c>
      <c r="I26" s="27">
        <f t="shared" si="2"/>
        <v>1</v>
      </c>
      <c r="J26" s="27">
        <f t="shared" si="3"/>
        <v>1</v>
      </c>
      <c r="K26" s="2"/>
      <c r="L26" s="28">
        <f ca="1">COUNTIFS(Inventory!D2:D1000,B26,Inventory!I2:I1000,"Not Retired")</f>
        <v>1</v>
      </c>
      <c r="M26" s="29">
        <f ca="1">SUMIFS(Inventory!E2:E1000,Inventory!D2:D1000,B26,Inventory!I2:I1000,"Not Retired")</f>
        <v>3145</v>
      </c>
      <c r="N26" s="30">
        <f ca="1">COUNTIFS(Inventory!D2:D1000,B26,Inventory!I2:I1000,"Retired")</f>
        <v>0</v>
      </c>
      <c r="O26" s="31">
        <f ca="1">SUMIFS(Inventory!E2:E1000,Inventory!D2:D1000,B26,Inventory!I2:I1000,"Retired")</f>
        <v>0</v>
      </c>
    </row>
    <row r="27" spans="2:15" ht="15" customHeight="1" x14ac:dyDescent="0.35">
      <c r="B27" s="8" t="s">
        <v>33</v>
      </c>
      <c r="C27" s="9">
        <f>COUNTIFS(Inventory!D2:D1000,B27,Inventory!H2:H1000,"YES")</f>
        <v>1</v>
      </c>
      <c r="D27" s="10">
        <f>SUMIFS(Inventory!E2:E1000,Inventory!D2:D1000,B27,Inventory!H2:H1000,"YES")</f>
        <v>878</v>
      </c>
      <c r="E27" s="11">
        <f>COUNTIFS(Inventory!D2:D1000,B27,Inventory!H2:H1000,"NO")</f>
        <v>0</v>
      </c>
      <c r="F27" s="12">
        <f>SUMIFS(Inventory!E2:E1000,Inventory!D2:D1000,B27,Inventory!H2:H1000,"NO")</f>
        <v>0</v>
      </c>
      <c r="G27" s="13">
        <f t="shared" si="0"/>
        <v>1</v>
      </c>
      <c r="H27" s="14">
        <f t="shared" si="1"/>
        <v>878</v>
      </c>
      <c r="I27" s="15">
        <f t="shared" si="2"/>
        <v>1</v>
      </c>
      <c r="J27" s="15">
        <f t="shared" si="3"/>
        <v>1</v>
      </c>
      <c r="K27" s="2"/>
      <c r="L27" s="16">
        <f ca="1">COUNTIFS(Inventory!D2:D1000,B27,Inventory!I2:I1000,"Not Retired")</f>
        <v>1</v>
      </c>
      <c r="M27" s="17">
        <f ca="1">SUMIFS(Inventory!E2:E1000,Inventory!D2:D1000,B27,Inventory!I2:I1000,"Not Retired")</f>
        <v>878</v>
      </c>
      <c r="N27" s="18">
        <f ca="1">COUNTIFS(Inventory!D2:D1000,B27,Inventory!I2:I1000,"Retired")</f>
        <v>0</v>
      </c>
      <c r="O27" s="19">
        <f ca="1">SUMIFS(Inventory!E2:E1000,Inventory!D2:D1000,B27,Inventory!I2:I1000,"Retired")</f>
        <v>0</v>
      </c>
    </row>
    <row r="28" spans="2:15" ht="15" customHeight="1" x14ac:dyDescent="0.35">
      <c r="B28" s="20" t="s">
        <v>34</v>
      </c>
      <c r="C28" s="21">
        <f>COUNTIFS(Inventory!D2:D1000,B28,Inventory!H2:H1000,"YES")</f>
        <v>1</v>
      </c>
      <c r="D28" s="22">
        <f>SUMIFS(Inventory!E2:E1000,Inventory!D2:D1000,B28,Inventory!H2:H1000,"YES")</f>
        <v>403</v>
      </c>
      <c r="E28" s="23">
        <f>COUNTIFS(Inventory!D2:D1000,B28,Inventory!H2:H1000,"NO")</f>
        <v>0</v>
      </c>
      <c r="F28" s="24">
        <f>SUMIFS(Inventory!E2:E1000,Inventory!D2:D1000,B28,Inventory!H2:H1000,"NO")</f>
        <v>0</v>
      </c>
      <c r="G28" s="25">
        <f t="shared" si="0"/>
        <v>1</v>
      </c>
      <c r="H28" s="26">
        <f t="shared" si="1"/>
        <v>403</v>
      </c>
      <c r="I28" s="27">
        <f t="shared" si="2"/>
        <v>1</v>
      </c>
      <c r="J28" s="27">
        <f t="shared" si="3"/>
        <v>1</v>
      </c>
      <c r="K28" s="2"/>
      <c r="L28" s="28">
        <f ca="1">COUNTIFS(Inventory!D2:D1000,B28,Inventory!I2:I1000,"Not Retired")</f>
        <v>0</v>
      </c>
      <c r="M28" s="29">
        <f ca="1">SUMIFS(Inventory!E2:E1000,Inventory!D2:D1000,B28,Inventory!I2:I1000,"Not Retired")</f>
        <v>0</v>
      </c>
      <c r="N28" s="30">
        <f ca="1">COUNTIFS(Inventory!D2:D1000,B28,Inventory!I2:I1000,"Retired")</f>
        <v>1</v>
      </c>
      <c r="O28" s="31">
        <f ca="1">SUMIFS(Inventory!E2:E1000,Inventory!D2:D1000,B28,Inventory!I2:I1000,"Retired")</f>
        <v>403</v>
      </c>
    </row>
    <row r="29" spans="2:15" ht="15" customHeight="1" x14ac:dyDescent="0.35">
      <c r="B29" s="8" t="s">
        <v>35</v>
      </c>
      <c r="C29" s="9">
        <f>COUNTIFS(Inventory!D2:D1000,B29,Inventory!H2:H1000,"YES")</f>
        <v>0</v>
      </c>
      <c r="D29" s="10">
        <f>SUMIFS(Inventory!E2:E1000,Inventory!D2:D1000,B29,Inventory!H2:H1000,"YES")</f>
        <v>0</v>
      </c>
      <c r="E29" s="11">
        <f>COUNTIFS(Inventory!D2:D1000,B29,Inventory!H2:H1000,"NO")</f>
        <v>1</v>
      </c>
      <c r="F29" s="12">
        <f>SUMIFS(Inventory!E2:E1000,Inventory!D2:D1000,B29,Inventory!H2:H1000,"NO")</f>
        <v>336</v>
      </c>
      <c r="G29" s="13">
        <f t="shared" si="0"/>
        <v>1</v>
      </c>
      <c r="H29" s="14">
        <f t="shared" si="1"/>
        <v>336</v>
      </c>
      <c r="I29" s="15">
        <f t="shared" si="2"/>
        <v>0</v>
      </c>
      <c r="J29" s="15">
        <f t="shared" si="3"/>
        <v>0</v>
      </c>
      <c r="K29" s="2"/>
      <c r="L29" s="16">
        <f ca="1">COUNTIFS(Inventory!D2:D1000,B29,Inventory!I2:I1000,"Not Retired")</f>
        <v>1</v>
      </c>
      <c r="M29" s="17">
        <f ca="1">SUMIFS(Inventory!E2:E1000,Inventory!D2:D1000,B29,Inventory!I2:I1000,"Not Retired")</f>
        <v>336</v>
      </c>
      <c r="N29" s="18">
        <f ca="1">COUNTIFS(Inventory!D2:D1000,B29,Inventory!I2:I1000,"Retired")</f>
        <v>0</v>
      </c>
      <c r="O29" s="19">
        <f ca="1">SUMIFS(Inventory!E2:E1000,Inventory!D2:D1000,B29,Inventory!I2:I1000,"Retired")</f>
        <v>0</v>
      </c>
    </row>
    <row r="30" spans="2:15" ht="15" customHeight="1" x14ac:dyDescent="0.35">
      <c r="B30" s="8" t="s">
        <v>36</v>
      </c>
      <c r="C30" s="9">
        <f>COUNTIFS(Inventory!D3:D1001,B30,Inventory!H3:H1001,"YES")</f>
        <v>0</v>
      </c>
      <c r="D30" s="10">
        <f>SUMIFS(Inventory!E3:E1001,Inventory!D3:D1001,B30,Inventory!H3:H1001,"YES")</f>
        <v>0</v>
      </c>
      <c r="E30" s="11">
        <f>COUNTIFS(Inventory!D3:D1001,B30,Inventory!H3:H1001,"NO")</f>
        <v>1</v>
      </c>
      <c r="F30" s="12">
        <f>SUMIFS(Inventory!E3:E1001,Inventory!D3:D1001,B30,Inventory!H3:H1001,"NO")</f>
        <v>422</v>
      </c>
      <c r="G30" s="13">
        <f t="shared" si="0"/>
        <v>1</v>
      </c>
      <c r="H30" s="14">
        <f t="shared" si="1"/>
        <v>422</v>
      </c>
      <c r="I30" s="15">
        <f t="shared" si="2"/>
        <v>0</v>
      </c>
      <c r="J30" s="15">
        <f t="shared" si="3"/>
        <v>0</v>
      </c>
      <c r="K30" s="2"/>
      <c r="L30" s="16">
        <f ca="1">COUNTIFS(Inventory!D3:D1001,B30,Inventory!I3:I1001,"Not Retired")</f>
        <v>0</v>
      </c>
      <c r="M30" s="17">
        <f ca="1">SUMIFS(Inventory!E3:E1001,Inventory!D3:D1001,B30,Inventory!I3:I1001,"Not Retired")</f>
        <v>0</v>
      </c>
      <c r="N30" s="18">
        <f ca="1">COUNTIFS(Inventory!D3:D1001,B30,Inventory!I3:I1001,"Retired")</f>
        <v>1</v>
      </c>
      <c r="O30" s="19">
        <f ca="1">SUMIFS(Inventory!E3:E1001,Inventory!D3:D1001,B30,Inventory!I3:I1001,"Retired")</f>
        <v>422</v>
      </c>
    </row>
    <row r="31" spans="2:15" ht="16.5" customHeight="1" x14ac:dyDescent="0.35">
      <c r="B31" s="32" t="s">
        <v>37</v>
      </c>
      <c r="C31" s="1">
        <f t="shared" ref="C31:H31" si="4">SUM(C13:C30)</f>
        <v>66</v>
      </c>
      <c r="D31" s="33">
        <f t="shared" si="4"/>
        <v>76040</v>
      </c>
      <c r="E31" s="1">
        <f t="shared" si="4"/>
        <v>72</v>
      </c>
      <c r="F31" s="33">
        <f t="shared" si="4"/>
        <v>105426</v>
      </c>
      <c r="G31" s="1">
        <f t="shared" si="4"/>
        <v>138</v>
      </c>
      <c r="H31" s="33">
        <f t="shared" si="4"/>
        <v>181466</v>
      </c>
      <c r="I31" s="34">
        <f t="shared" si="2"/>
        <v>0.47826086956521741</v>
      </c>
      <c r="J31" s="34">
        <f t="shared" si="3"/>
        <v>0.41903166433381461</v>
      </c>
      <c r="K31" s="2"/>
      <c r="L31" s="1">
        <f ca="1">SUM(L13:L30)</f>
        <v>75</v>
      </c>
      <c r="M31" s="33">
        <f ca="1">SUM(M13:M30)</f>
        <v>114690</v>
      </c>
      <c r="N31" s="1">
        <f ca="1">SUM(N13:N30)</f>
        <v>63</v>
      </c>
      <c r="O31" s="33">
        <f ca="1">SUM(O13:O30)</f>
        <v>66776</v>
      </c>
    </row>
    <row r="32" spans="2:15" ht="11" customHeight="1" x14ac:dyDescent="0.35"/>
    <row r="33" spans="2:18" ht="19.5" customHeight="1" x14ac:dyDescent="0.35">
      <c r="B33" s="92" t="s">
        <v>38</v>
      </c>
      <c r="C33" s="92"/>
      <c r="D33" s="92"/>
      <c r="E33" s="55"/>
      <c r="F33" s="91" t="s">
        <v>42</v>
      </c>
      <c r="G33" s="91"/>
      <c r="H33" s="91"/>
      <c r="I33" s="91"/>
      <c r="J33" s="91"/>
      <c r="K33" s="91"/>
      <c r="L33" s="91"/>
      <c r="M33" s="91"/>
      <c r="N33" s="55"/>
      <c r="O33" s="55"/>
    </row>
    <row r="34" spans="2:18" ht="15.75" customHeight="1" x14ac:dyDescent="0.35">
      <c r="B34" s="35" t="s">
        <v>39</v>
      </c>
      <c r="C34" s="35" t="s">
        <v>15</v>
      </c>
      <c r="D34" s="35" t="s">
        <v>16</v>
      </c>
      <c r="F34" s="1"/>
      <c r="G34" s="87" t="s">
        <v>13</v>
      </c>
      <c r="H34" s="88"/>
      <c r="I34" s="89" t="s">
        <v>14</v>
      </c>
      <c r="J34" s="90"/>
      <c r="K34" s="101" t="s">
        <v>11</v>
      </c>
      <c r="L34" s="102"/>
      <c r="M34" s="102"/>
      <c r="R34" s="36"/>
    </row>
    <row r="35" spans="2:18" ht="15" customHeight="1" x14ac:dyDescent="0.35">
      <c r="B35" s="37">
        <v>2011</v>
      </c>
      <c r="C35" s="37">
        <f>COUNTIF(Inventory!G2:G1000,B35)</f>
        <v>1</v>
      </c>
      <c r="D35" s="38">
        <f>SUMIF(Inventory!G2:G1000,B35,Inventory!E2:E1000)</f>
        <v>560</v>
      </c>
      <c r="F35" s="1"/>
      <c r="G35" s="6" t="s">
        <v>15</v>
      </c>
      <c r="H35" s="6" t="s">
        <v>16</v>
      </c>
      <c r="I35" s="7" t="s">
        <v>15</v>
      </c>
      <c r="J35" s="7" t="s">
        <v>16</v>
      </c>
      <c r="K35" s="93" t="s">
        <v>15</v>
      </c>
      <c r="L35" s="94"/>
      <c r="M35" s="1" t="s">
        <v>16</v>
      </c>
    </row>
    <row r="36" spans="2:18" ht="15" customHeight="1" x14ac:dyDescent="0.35">
      <c r="B36" s="39">
        <v>2012</v>
      </c>
      <c r="C36" s="39">
        <f>COUNTIF(Inventory!G2:G1000,B36)</f>
        <v>1</v>
      </c>
      <c r="D36" s="40">
        <f>SUMIF(Inventory!G2:G1000,B36,Inventory!E2:E1000)</f>
        <v>4287</v>
      </c>
      <c r="F36" s="20" t="s">
        <v>10</v>
      </c>
      <c r="G36" s="28">
        <f ca="1">COUNTIFS(Inventory!H2:H1000,"NO",Inventory!I2:I1000,"Not Retired")</f>
        <v>48</v>
      </c>
      <c r="H36" s="43">
        <f ca="1">SUMIFS(Inventory!E2:E1000,Inventory!H2:H1000,"NO",Inventory!I2:I1000,"Not Retired")</f>
        <v>79302</v>
      </c>
      <c r="I36" s="30">
        <f ca="1">COUNTIFS(Inventory!H2:H1000,"NO",Inventory!I2:I1000,"Retired")</f>
        <v>24</v>
      </c>
      <c r="J36" s="46">
        <f ca="1">SUMIFS(Inventory!E2:E1000,Inventory!H2:H1000,"NO",Inventory!I2:I1000,"Retired")</f>
        <v>26124</v>
      </c>
      <c r="K36" s="95">
        <f ca="1">G36+I36</f>
        <v>72</v>
      </c>
      <c r="L36" s="96"/>
      <c r="M36" s="47">
        <f ca="1">H36+J36</f>
        <v>105426</v>
      </c>
    </row>
    <row r="37" spans="2:18" ht="15" customHeight="1" x14ac:dyDescent="0.35">
      <c r="B37" s="37">
        <v>2015</v>
      </c>
      <c r="C37" s="37">
        <f>COUNTIF(Inventory!G2:G1000,B37)</f>
        <v>2</v>
      </c>
      <c r="D37" s="38">
        <f>SUMIF(Inventory!G2:G1000,B37,Inventory!E2:E1000)</f>
        <v>708</v>
      </c>
      <c r="F37" s="8" t="s">
        <v>9</v>
      </c>
      <c r="G37" s="16">
        <f ca="1">COUNTIFS(Inventory!H2:H1000,"YES",Inventory!I2:I1000,"Not Retired")</f>
        <v>27</v>
      </c>
      <c r="H37" s="48">
        <f ca="1">SUMIFS(Inventory!E2:E1000,Inventory!H2:H1000,"YES",Inventory!I2:I1000,"Not Retired")</f>
        <v>35388</v>
      </c>
      <c r="I37" s="18">
        <f ca="1">COUNTIFS(Inventory!H2:H1000,"YES",Inventory!I2:I1000,"Retired")</f>
        <v>39</v>
      </c>
      <c r="J37" s="49">
        <f ca="1">SUMIFS(Inventory!E2:E1000,Inventory!H2:H1000,"YES",Inventory!I2:I1000,"Retired")</f>
        <v>40652</v>
      </c>
      <c r="K37" s="97">
        <f ca="1">G37+I37</f>
        <v>66</v>
      </c>
      <c r="L37" s="98"/>
      <c r="M37" s="50">
        <f ca="1">H37+J37</f>
        <v>76040</v>
      </c>
    </row>
    <row r="38" spans="2:18" ht="15" customHeight="1" x14ac:dyDescent="0.35">
      <c r="B38" s="39">
        <v>2016</v>
      </c>
      <c r="C38" s="39">
        <f>COUNTIF(Inventory!G2:G1000,B38)</f>
        <v>7</v>
      </c>
      <c r="D38" s="40">
        <f>SUMIF(Inventory!G2:G1000,B38,Inventory!E2:E1000)</f>
        <v>4706</v>
      </c>
      <c r="F38" s="32" t="s">
        <v>11</v>
      </c>
      <c r="G38" s="1">
        <f t="shared" ref="G38:J38" ca="1" si="5">G36+G37</f>
        <v>75</v>
      </c>
      <c r="H38" s="33">
        <f t="shared" ca="1" si="5"/>
        <v>114690</v>
      </c>
      <c r="I38" s="1">
        <f t="shared" ca="1" si="5"/>
        <v>63</v>
      </c>
      <c r="J38" s="33">
        <f t="shared" ca="1" si="5"/>
        <v>66776</v>
      </c>
      <c r="K38" s="99">
        <f ca="1">K36+K37</f>
        <v>138</v>
      </c>
      <c r="L38" s="100"/>
      <c r="M38" s="33">
        <f ca="1">M36+M37</f>
        <v>181466</v>
      </c>
    </row>
    <row r="39" spans="2:18" ht="15" customHeight="1" x14ac:dyDescent="0.35">
      <c r="B39" s="37">
        <v>2017</v>
      </c>
      <c r="C39" s="37">
        <f>COUNTIF(Inventory!G2:G1000,B39)</f>
        <v>8</v>
      </c>
      <c r="D39" s="38">
        <f>SUMIF(Inventory!G2:G1000,B39,Inventory!E2:E1000)</f>
        <v>3175</v>
      </c>
      <c r="F39" s="36"/>
      <c r="G39" s="36"/>
      <c r="H39" s="36"/>
    </row>
    <row r="40" spans="2:18" ht="15" customHeight="1" x14ac:dyDescent="0.35">
      <c r="B40" s="39">
        <v>2018</v>
      </c>
      <c r="C40" s="39">
        <f>COUNTIF(Inventory!G2:G1000,B40)</f>
        <v>4</v>
      </c>
      <c r="D40" s="40">
        <f>SUMIF(Inventory!G2:G1000,B40,Inventory!E2:E1000)</f>
        <v>5981</v>
      </c>
      <c r="F40" s="36"/>
      <c r="G40" s="36"/>
      <c r="H40" s="36"/>
    </row>
    <row r="41" spans="2:18" ht="15" customHeight="1" x14ac:dyDescent="0.35">
      <c r="B41" s="37">
        <v>2021</v>
      </c>
      <c r="C41" s="37">
        <f>COUNTIF(Inventory!G2:G1000,B41)</f>
        <v>4</v>
      </c>
      <c r="D41" s="38">
        <f>SUMIF(Inventory!G2:G1000,B41,Inventory!E2:E1000)</f>
        <v>2574</v>
      </c>
    </row>
    <row r="42" spans="2:18" ht="15" customHeight="1" x14ac:dyDescent="0.35">
      <c r="B42" s="39">
        <v>2022</v>
      </c>
      <c r="C42" s="39">
        <f>COUNTIF(Inventory!G2:G1000,B42)</f>
        <v>8</v>
      </c>
      <c r="D42" s="40">
        <f>SUMIF(Inventory!G2:G1000,B42,Inventory!E2:E1000)</f>
        <v>8591</v>
      </c>
    </row>
    <row r="43" spans="2:18" ht="15" customHeight="1" x14ac:dyDescent="0.35">
      <c r="B43" s="37">
        <v>2023</v>
      </c>
      <c r="C43" s="37">
        <f>COUNTIF(Inventory!G2:G1000,B43)</f>
        <v>5</v>
      </c>
      <c r="D43" s="38">
        <f>SUMIF(Inventory!G2:G1000,B43,Inventory!E2:E1000)</f>
        <v>4963</v>
      </c>
    </row>
    <row r="44" spans="2:18" ht="15" customHeight="1" x14ac:dyDescent="0.35">
      <c r="B44" s="39">
        <v>2024</v>
      </c>
      <c r="C44" s="39">
        <f>COUNTIF(Inventory!G2:G1000,B44)</f>
        <v>11</v>
      </c>
      <c r="D44" s="40">
        <f>SUMIF(Inventory!G2:G1000,B44,Inventory!E2:E1000)</f>
        <v>17807</v>
      </c>
    </row>
    <row r="45" spans="2:18" ht="15" customHeight="1" x14ac:dyDescent="0.35">
      <c r="B45" s="37">
        <v>2025</v>
      </c>
      <c r="C45" s="37">
        <f>COUNTIF(Inventory!G2:G1000,B45)</f>
        <v>11</v>
      </c>
      <c r="D45" s="38">
        <f>SUMIF(Inventory!G2:G1000,B45,Inventory!E2:E1000)</f>
        <v>12937</v>
      </c>
    </row>
    <row r="46" spans="2:18" ht="15" customHeight="1" x14ac:dyDescent="0.35">
      <c r="B46" s="41">
        <v>2026</v>
      </c>
      <c r="C46" s="41">
        <f>COUNTIF(Inventory!G2:G1000,B46)</f>
        <v>22</v>
      </c>
      <c r="D46" s="42">
        <f>SUMIF(Inventory!G2:G1000,B46,Inventory!E2:E1000)</f>
        <v>44423</v>
      </c>
    </row>
    <row r="47" spans="2:18" ht="15" customHeight="1" x14ac:dyDescent="0.35">
      <c r="B47" s="28" t="s">
        <v>41</v>
      </c>
      <c r="C47" s="28">
        <f>COUNTIF(Inventory!G2:G1000,"-")</f>
        <v>53</v>
      </c>
      <c r="D47" s="43">
        <f>SUMIF(Inventory!G2:G1000,"-",Inventory!E2:E1000)</f>
        <v>70267</v>
      </c>
    </row>
    <row r="48" spans="2:18" ht="16.5" customHeight="1" x14ac:dyDescent="0.35">
      <c r="B48" s="44" t="s">
        <v>37</v>
      </c>
      <c r="C48" s="35">
        <f>SUM(C35:C47)</f>
        <v>137</v>
      </c>
      <c r="D48" s="45">
        <f>SUM(D35:D47)</f>
        <v>180979</v>
      </c>
    </row>
    <row r="49" spans="2:15" ht="8.5" customHeight="1" x14ac:dyDescent="0.35"/>
    <row r="50" spans="2:15" ht="48" customHeight="1" x14ac:dyDescent="0.35">
      <c r="B50" s="86" t="s">
        <v>40</v>
      </c>
      <c r="C50" s="86"/>
      <c r="D50" s="86"/>
    </row>
    <row r="51" spans="2:15" ht="15.75" customHeight="1" x14ac:dyDescent="0.35">
      <c r="B51" s="36"/>
      <c r="C51" s="36"/>
      <c r="D51" s="36"/>
    </row>
    <row r="52" spans="2:15" ht="9.75" customHeight="1" x14ac:dyDescent="0.35">
      <c r="B52" s="36"/>
      <c r="C52" s="36"/>
      <c r="D52" s="36"/>
    </row>
    <row r="53" spans="2:15" ht="19.5" customHeight="1" x14ac:dyDescent="0.35">
      <c r="B53" s="54" t="s">
        <v>43</v>
      </c>
      <c r="C53" s="54"/>
      <c r="D53" s="54"/>
      <c r="E53" s="54"/>
      <c r="F53" s="55"/>
      <c r="G53" s="55"/>
      <c r="H53" s="55"/>
      <c r="I53" s="55"/>
      <c r="J53" s="55"/>
      <c r="K53" s="55"/>
      <c r="L53" s="55"/>
      <c r="M53" s="55"/>
      <c r="N53" s="55"/>
      <c r="O53" s="55"/>
    </row>
    <row r="54" spans="2:15" ht="13.5" customHeight="1" x14ac:dyDescent="0.35">
      <c r="B54" s="1" t="s">
        <v>44</v>
      </c>
      <c r="C54" s="1" t="s">
        <v>15</v>
      </c>
      <c r="D54" s="35" t="s">
        <v>45</v>
      </c>
      <c r="E54" s="35" t="s">
        <v>15</v>
      </c>
    </row>
    <row r="55" spans="2:15" ht="13.5" customHeight="1" x14ac:dyDescent="0.35">
      <c r="B55" s="21" t="s">
        <v>9</v>
      </c>
      <c r="C55" s="21">
        <f>COUNTIF(Inventory!H2:H1000,"YES")</f>
        <v>66</v>
      </c>
      <c r="D55" s="28" t="s">
        <v>13</v>
      </c>
      <c r="E55" s="28">
        <f ca="1">COUNTIF(Inventory!I2:I1000,"Not Retired")</f>
        <v>75</v>
      </c>
    </row>
    <row r="56" spans="2:15" ht="13.5" customHeight="1" x14ac:dyDescent="0.35">
      <c r="B56" s="11" t="s">
        <v>10</v>
      </c>
      <c r="C56" s="11">
        <f>COUNTIF(Inventory!H2:H1000,"NO")</f>
        <v>72</v>
      </c>
      <c r="D56" s="18" t="s">
        <v>14</v>
      </c>
      <c r="E56" s="18">
        <f ca="1">COUNTIF(Inventory!I2:I1000,"Retired")</f>
        <v>63</v>
      </c>
    </row>
  </sheetData>
  <mergeCells count="44">
    <mergeCell ref="J5:L5"/>
    <mergeCell ref="B2:O2"/>
    <mergeCell ref="B4:C4"/>
    <mergeCell ref="D4:E4"/>
    <mergeCell ref="F4:G4"/>
    <mergeCell ref="H4:I4"/>
    <mergeCell ref="J4:L4"/>
    <mergeCell ref="B6:C6"/>
    <mergeCell ref="D6:E6"/>
    <mergeCell ref="F6:G6"/>
    <mergeCell ref="H6:I6"/>
    <mergeCell ref="B5:C5"/>
    <mergeCell ref="D5:E5"/>
    <mergeCell ref="F5:G5"/>
    <mergeCell ref="H5:I5"/>
    <mergeCell ref="L11:M11"/>
    <mergeCell ref="B7:C7"/>
    <mergeCell ref="D7:E7"/>
    <mergeCell ref="F7:G7"/>
    <mergeCell ref="H7:I7"/>
    <mergeCell ref="B8:C8"/>
    <mergeCell ref="D8:E8"/>
    <mergeCell ref="F8:G8"/>
    <mergeCell ref="H8:I8"/>
    <mergeCell ref="C11:D11"/>
    <mergeCell ref="E11:F11"/>
    <mergeCell ref="G11:H11"/>
    <mergeCell ref="I11:J11"/>
    <mergeCell ref="J6:L6"/>
    <mergeCell ref="J7:L7"/>
    <mergeCell ref="J8:L8"/>
    <mergeCell ref="B50:D50"/>
    <mergeCell ref="G34:H34"/>
    <mergeCell ref="I34:J34"/>
    <mergeCell ref="F33:M33"/>
    <mergeCell ref="B33:D33"/>
    <mergeCell ref="K35:L35"/>
    <mergeCell ref="K36:L36"/>
    <mergeCell ref="K37:L37"/>
    <mergeCell ref="K38:L38"/>
    <mergeCell ref="K34:M34"/>
    <mergeCell ref="B10:O10"/>
    <mergeCell ref="B11:B12"/>
    <mergeCell ref="N11:O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8"/>
  <sheetViews>
    <sheetView tabSelected="1" zoomScaleNormal="100" workbookViewId="0">
      <pane ySplit="1" topLeftCell="A97" activePane="bottomLeft" state="frozen"/>
      <selection pane="bottomLeft" activeCell="F139" sqref="F139"/>
    </sheetView>
  </sheetViews>
  <sheetFormatPr defaultColWidth="8.6328125" defaultRowHeight="14.5" x14ac:dyDescent="0.35"/>
  <cols>
    <col min="1" max="1" width="5.453125" customWidth="1"/>
    <col min="2" max="2" width="11.54296875" style="51" customWidth="1"/>
    <col min="3" max="3" width="36.6328125" style="52" customWidth="1"/>
    <col min="4" max="4" width="18.81640625" customWidth="1"/>
    <col min="5" max="5" width="6.7265625" style="51" customWidth="1"/>
    <col min="6" max="7" width="13.7265625" style="51" customWidth="1"/>
    <col min="8" max="8" width="5.1796875" customWidth="1"/>
    <col min="9" max="9" width="12" style="51" customWidth="1"/>
  </cols>
  <sheetData>
    <row r="1" spans="1:11" ht="14.25" customHeight="1" thickTop="1" thickBot="1" x14ac:dyDescent="0.4">
      <c r="A1" s="72" t="s">
        <v>46</v>
      </c>
      <c r="B1" s="73" t="s">
        <v>47</v>
      </c>
      <c r="C1" s="74" t="s">
        <v>48</v>
      </c>
      <c r="D1" s="72" t="s">
        <v>49</v>
      </c>
      <c r="E1" s="73" t="s">
        <v>50</v>
      </c>
      <c r="F1" s="73" t="s">
        <v>51</v>
      </c>
      <c r="G1" s="73" t="s">
        <v>52</v>
      </c>
      <c r="H1" s="72" t="s">
        <v>9</v>
      </c>
      <c r="I1" s="73" t="s">
        <v>14</v>
      </c>
    </row>
    <row r="2" spans="1:11" ht="14.25" customHeight="1" thickTop="1" x14ac:dyDescent="0.35">
      <c r="A2" s="65">
        <v>1</v>
      </c>
      <c r="B2" s="63">
        <v>21061</v>
      </c>
      <c r="C2" s="64" t="s">
        <v>53</v>
      </c>
      <c r="D2" s="65" t="s">
        <v>20</v>
      </c>
      <c r="E2" s="63">
        <v>4383</v>
      </c>
      <c r="F2" s="63">
        <v>2024</v>
      </c>
      <c r="G2" s="63" t="s">
        <v>54</v>
      </c>
      <c r="H2" s="65" t="s">
        <v>55</v>
      </c>
      <c r="I2" s="63" t="str">
        <f t="shared" ref="I2:I65" ca="1" si="0">IF(B2="","",IF(G2="-","Not Retired",IF(G2&lt;YEAR(NOW()),"Retired","Not Retired")))</f>
        <v>Not Retired</v>
      </c>
      <c r="K2" s="51"/>
    </row>
    <row r="3" spans="1:11" ht="14.25" customHeight="1" x14ac:dyDescent="0.35">
      <c r="A3" s="68">
        <f t="shared" ref="A3:A66" si="1">+A2+1</f>
        <v>2</v>
      </c>
      <c r="B3" s="66">
        <v>21063</v>
      </c>
      <c r="C3" s="67" t="s">
        <v>56</v>
      </c>
      <c r="D3" s="68" t="s">
        <v>20</v>
      </c>
      <c r="E3" s="66">
        <v>3455</v>
      </c>
      <c r="F3" s="66">
        <v>2025</v>
      </c>
      <c r="G3" s="66" t="s">
        <v>54</v>
      </c>
      <c r="H3" s="68" t="s">
        <v>55</v>
      </c>
      <c r="I3" s="66" t="str">
        <f t="shared" ca="1" si="0"/>
        <v>Not Retired</v>
      </c>
    </row>
    <row r="4" spans="1:11" ht="14.25" customHeight="1" x14ac:dyDescent="0.35">
      <c r="A4" s="68">
        <f t="shared" si="1"/>
        <v>3</v>
      </c>
      <c r="B4" s="66">
        <v>21060</v>
      </c>
      <c r="C4" s="67" t="s">
        <v>57</v>
      </c>
      <c r="D4" s="68" t="s">
        <v>20</v>
      </c>
      <c r="E4" s="66">
        <v>2125</v>
      </c>
      <c r="F4" s="66">
        <v>2023</v>
      </c>
      <c r="G4" s="66">
        <v>2026</v>
      </c>
      <c r="H4" s="68" t="s">
        <v>55</v>
      </c>
      <c r="I4" s="66" t="str">
        <f t="shared" ca="1" si="0"/>
        <v>Not Retired</v>
      </c>
      <c r="K4" s="51"/>
    </row>
    <row r="5" spans="1:11" ht="14.25" customHeight="1" x14ac:dyDescent="0.35">
      <c r="A5" s="68">
        <f t="shared" si="1"/>
        <v>4</v>
      </c>
      <c r="B5" s="66">
        <v>21042</v>
      </c>
      <c r="C5" s="67" t="s">
        <v>58</v>
      </c>
      <c r="D5" s="68" t="s">
        <v>20</v>
      </c>
      <c r="E5" s="66">
        <v>1685</v>
      </c>
      <c r="F5" s="66">
        <v>2018</v>
      </c>
      <c r="G5" s="66">
        <v>2026</v>
      </c>
      <c r="H5" s="68" t="s">
        <v>59</v>
      </c>
      <c r="I5" s="66" t="str">
        <f t="shared" ca="1" si="0"/>
        <v>Not Retired</v>
      </c>
    </row>
    <row r="6" spans="1:11" ht="14.25" customHeight="1" x14ac:dyDescent="0.35">
      <c r="A6" s="68">
        <f t="shared" si="1"/>
        <v>5</v>
      </c>
      <c r="B6" s="66">
        <v>21029</v>
      </c>
      <c r="C6" s="67" t="s">
        <v>60</v>
      </c>
      <c r="D6" s="68" t="s">
        <v>20</v>
      </c>
      <c r="E6" s="66">
        <v>780</v>
      </c>
      <c r="F6" s="66">
        <v>2016</v>
      </c>
      <c r="G6" s="66">
        <v>2018</v>
      </c>
      <c r="H6" s="68" t="s">
        <v>59</v>
      </c>
      <c r="I6" s="66" t="str">
        <f t="shared" ca="1" si="0"/>
        <v>Retired</v>
      </c>
    </row>
    <row r="7" spans="1:11" ht="14.25" customHeight="1" x14ac:dyDescent="0.35">
      <c r="A7" s="68">
        <f t="shared" si="1"/>
        <v>6</v>
      </c>
      <c r="B7" s="66">
        <v>21024</v>
      </c>
      <c r="C7" s="67" t="s">
        <v>61</v>
      </c>
      <c r="D7" s="68" t="s">
        <v>20</v>
      </c>
      <c r="E7" s="66">
        <v>695</v>
      </c>
      <c r="F7" s="66">
        <v>2015</v>
      </c>
      <c r="G7" s="66">
        <v>2017</v>
      </c>
      <c r="H7" s="68" t="s">
        <v>59</v>
      </c>
      <c r="I7" s="66" t="str">
        <f t="shared" ca="1" si="0"/>
        <v>Retired</v>
      </c>
    </row>
    <row r="8" spans="1:11" ht="14.25" customHeight="1" x14ac:dyDescent="0.35">
      <c r="A8" s="68">
        <f t="shared" si="1"/>
        <v>7</v>
      </c>
      <c r="B8" s="66">
        <v>21028</v>
      </c>
      <c r="C8" s="67" t="s">
        <v>62</v>
      </c>
      <c r="D8" s="68" t="s">
        <v>20</v>
      </c>
      <c r="E8" s="66">
        <v>598</v>
      </c>
      <c r="F8" s="66">
        <v>2016</v>
      </c>
      <c r="G8" s="66">
        <v>2025</v>
      </c>
      <c r="H8" s="68" t="s">
        <v>59</v>
      </c>
      <c r="I8" s="66" t="str">
        <f t="shared" ca="1" si="0"/>
        <v>Retired</v>
      </c>
    </row>
    <row r="9" spans="1:11" ht="14.25" customHeight="1" x14ac:dyDescent="0.35">
      <c r="A9" s="68">
        <f t="shared" si="1"/>
        <v>8</v>
      </c>
      <c r="B9" s="66">
        <v>21006</v>
      </c>
      <c r="C9" s="67" t="s">
        <v>63</v>
      </c>
      <c r="D9" s="68" t="s">
        <v>20</v>
      </c>
      <c r="E9" s="66">
        <v>560</v>
      </c>
      <c r="F9" s="66">
        <v>2010</v>
      </c>
      <c r="G9" s="66">
        <v>2011</v>
      </c>
      <c r="H9" s="68" t="s">
        <v>59</v>
      </c>
      <c r="I9" s="66" t="str">
        <f t="shared" ca="1" si="0"/>
        <v>Retired</v>
      </c>
    </row>
    <row r="10" spans="1:11" ht="14.25" customHeight="1" x14ac:dyDescent="0.35">
      <c r="A10" s="68">
        <f t="shared" si="1"/>
        <v>9</v>
      </c>
      <c r="B10" s="66">
        <v>21023</v>
      </c>
      <c r="C10" s="67" t="s">
        <v>64</v>
      </c>
      <c r="D10" s="68" t="s">
        <v>20</v>
      </c>
      <c r="E10" s="66">
        <v>471</v>
      </c>
      <c r="F10" s="66">
        <v>2015</v>
      </c>
      <c r="G10" s="66">
        <v>2016</v>
      </c>
      <c r="H10" s="68" t="s">
        <v>59</v>
      </c>
      <c r="I10" s="66" t="str">
        <f t="shared" ca="1" si="0"/>
        <v>Retired</v>
      </c>
    </row>
    <row r="11" spans="1:11" ht="14.25" customHeight="1" x14ac:dyDescent="0.35">
      <c r="A11" s="68">
        <f t="shared" si="1"/>
        <v>10</v>
      </c>
      <c r="B11" s="66">
        <v>21034</v>
      </c>
      <c r="C11" s="67" t="s">
        <v>65</v>
      </c>
      <c r="D11" s="68" t="s">
        <v>20</v>
      </c>
      <c r="E11" s="66">
        <v>468</v>
      </c>
      <c r="F11" s="66">
        <v>2017</v>
      </c>
      <c r="G11" s="66" t="s">
        <v>54</v>
      </c>
      <c r="H11" s="68" t="s">
        <v>55</v>
      </c>
      <c r="I11" s="66" t="str">
        <f t="shared" ca="1" si="0"/>
        <v>Not Retired</v>
      </c>
    </row>
    <row r="12" spans="1:11" ht="14.25" customHeight="1" x14ac:dyDescent="0.35">
      <c r="A12" s="68">
        <f t="shared" si="1"/>
        <v>11</v>
      </c>
      <c r="B12" s="66">
        <v>21011</v>
      </c>
      <c r="C12" s="67" t="s">
        <v>66</v>
      </c>
      <c r="D12" s="68" t="s">
        <v>20</v>
      </c>
      <c r="E12" s="66">
        <v>363</v>
      </c>
      <c r="F12" s="66">
        <v>2011</v>
      </c>
      <c r="G12" s="66">
        <v>2015</v>
      </c>
      <c r="H12" s="68" t="s">
        <v>59</v>
      </c>
      <c r="I12" s="66" t="str">
        <f t="shared" ca="1" si="0"/>
        <v>Retired</v>
      </c>
    </row>
    <row r="13" spans="1:11" ht="14.25" customHeight="1" x14ac:dyDescent="0.35">
      <c r="A13" s="68">
        <f t="shared" si="1"/>
        <v>12</v>
      </c>
      <c r="B13" s="66">
        <v>21013</v>
      </c>
      <c r="C13" s="67" t="s">
        <v>67</v>
      </c>
      <c r="D13" s="68" t="s">
        <v>20</v>
      </c>
      <c r="E13" s="66">
        <v>346</v>
      </c>
      <c r="F13" s="66">
        <v>2012</v>
      </c>
      <c r="G13" s="66">
        <v>2016</v>
      </c>
      <c r="H13" s="68" t="s">
        <v>59</v>
      </c>
      <c r="I13" s="66" t="str">
        <f t="shared" ca="1" si="0"/>
        <v>Retired</v>
      </c>
    </row>
    <row r="14" spans="1:11" ht="14.25" customHeight="1" x14ac:dyDescent="0.35">
      <c r="A14" s="68">
        <f t="shared" si="1"/>
        <v>13</v>
      </c>
      <c r="B14" s="66">
        <v>21015</v>
      </c>
      <c r="C14" s="67" t="s">
        <v>68</v>
      </c>
      <c r="D14" s="68" t="s">
        <v>20</v>
      </c>
      <c r="E14" s="66">
        <v>345</v>
      </c>
      <c r="F14" s="66">
        <v>2013</v>
      </c>
      <c r="G14" s="66">
        <v>2015</v>
      </c>
      <c r="H14" s="68" t="s">
        <v>59</v>
      </c>
      <c r="I14" s="66" t="str">
        <f t="shared" ca="1" si="0"/>
        <v>Retired</v>
      </c>
    </row>
    <row r="15" spans="1:11" ht="14.25" customHeight="1" x14ac:dyDescent="0.35">
      <c r="A15" s="68">
        <f t="shared" si="1"/>
        <v>14</v>
      </c>
      <c r="B15" s="66">
        <v>21055</v>
      </c>
      <c r="C15" s="67" t="s">
        <v>69</v>
      </c>
      <c r="D15" s="68" t="s">
        <v>20</v>
      </c>
      <c r="E15" s="66">
        <v>333</v>
      </c>
      <c r="F15" s="66">
        <v>2019</v>
      </c>
      <c r="G15" s="66">
        <v>2022</v>
      </c>
      <c r="H15" s="68" t="s">
        <v>59</v>
      </c>
      <c r="I15" s="66" t="str">
        <f t="shared" ca="1" si="0"/>
        <v>Retired</v>
      </c>
    </row>
    <row r="16" spans="1:11" ht="14.25" customHeight="1" x14ac:dyDescent="0.35">
      <c r="A16" s="68">
        <f t="shared" si="1"/>
        <v>15</v>
      </c>
      <c r="B16" s="66">
        <v>21019</v>
      </c>
      <c r="C16" s="67" t="s">
        <v>70</v>
      </c>
      <c r="D16" s="68" t="s">
        <v>20</v>
      </c>
      <c r="E16" s="66">
        <v>321</v>
      </c>
      <c r="F16" s="66">
        <v>2014</v>
      </c>
      <c r="G16" s="66">
        <v>2018</v>
      </c>
      <c r="H16" s="68" t="s">
        <v>59</v>
      </c>
      <c r="I16" s="66" t="str">
        <f t="shared" ca="1" si="0"/>
        <v>Retired</v>
      </c>
    </row>
    <row r="17" spans="1:9" ht="14.25" customHeight="1" x14ac:dyDescent="0.35">
      <c r="A17" s="68">
        <f t="shared" si="1"/>
        <v>16</v>
      </c>
      <c r="B17" s="66">
        <v>21027</v>
      </c>
      <c r="C17" s="67" t="s">
        <v>71</v>
      </c>
      <c r="D17" s="68" t="s">
        <v>20</v>
      </c>
      <c r="E17" s="66">
        <v>289</v>
      </c>
      <c r="F17" s="66">
        <v>2016</v>
      </c>
      <c r="G17" s="66">
        <v>2017</v>
      </c>
      <c r="H17" s="68" t="s">
        <v>59</v>
      </c>
      <c r="I17" s="66" t="str">
        <f t="shared" ca="1" si="0"/>
        <v>Retired</v>
      </c>
    </row>
    <row r="18" spans="1:9" ht="14.25" customHeight="1" x14ac:dyDescent="0.35">
      <c r="A18" s="68">
        <f t="shared" si="1"/>
        <v>17</v>
      </c>
      <c r="B18" s="66">
        <v>21022</v>
      </c>
      <c r="C18" s="67" t="s">
        <v>72</v>
      </c>
      <c r="D18" s="68" t="s">
        <v>20</v>
      </c>
      <c r="E18" s="66">
        <v>274</v>
      </c>
      <c r="F18" s="66">
        <v>2015</v>
      </c>
      <c r="G18" s="66">
        <v>2016</v>
      </c>
      <c r="H18" s="68" t="s">
        <v>59</v>
      </c>
      <c r="I18" s="66" t="str">
        <f t="shared" ca="1" si="0"/>
        <v>Retired</v>
      </c>
    </row>
    <row r="19" spans="1:9" ht="14.25" customHeight="1" x14ac:dyDescent="0.35">
      <c r="A19" s="68">
        <f t="shared" si="1"/>
        <v>18</v>
      </c>
      <c r="B19" s="66">
        <v>21026</v>
      </c>
      <c r="C19" s="67" t="s">
        <v>73</v>
      </c>
      <c r="D19" s="68" t="s">
        <v>20</v>
      </c>
      <c r="E19" s="66">
        <v>212</v>
      </c>
      <c r="F19" s="66">
        <v>2016</v>
      </c>
      <c r="G19" s="66">
        <v>2017</v>
      </c>
      <c r="H19" s="68" t="s">
        <v>59</v>
      </c>
      <c r="I19" s="66" t="str">
        <f t="shared" ca="1" si="0"/>
        <v>Retired</v>
      </c>
    </row>
    <row r="20" spans="1:9" ht="14.25" customHeight="1" x14ac:dyDescent="0.35">
      <c r="A20" s="68">
        <f t="shared" si="1"/>
        <v>19</v>
      </c>
      <c r="B20" s="66">
        <v>10281</v>
      </c>
      <c r="C20" s="67" t="s">
        <v>74</v>
      </c>
      <c r="D20" s="68" t="s">
        <v>33</v>
      </c>
      <c r="E20" s="66">
        <v>878</v>
      </c>
      <c r="F20" s="66">
        <v>2021</v>
      </c>
      <c r="G20" s="66" t="s">
        <v>54</v>
      </c>
      <c r="H20" s="68" t="s">
        <v>59</v>
      </c>
      <c r="I20" s="66" t="str">
        <f t="shared" ca="1" si="0"/>
        <v>Not Retired</v>
      </c>
    </row>
    <row r="21" spans="1:9" ht="14.25" customHeight="1" x14ac:dyDescent="0.35">
      <c r="A21" s="68">
        <f t="shared" si="1"/>
        <v>20</v>
      </c>
      <c r="B21" s="66">
        <v>31382</v>
      </c>
      <c r="C21" s="67" t="s">
        <v>75</v>
      </c>
      <c r="D21" s="68" t="s">
        <v>35</v>
      </c>
      <c r="E21" s="66">
        <v>336</v>
      </c>
      <c r="F21" s="66">
        <v>2026</v>
      </c>
      <c r="G21" s="66" t="s">
        <v>54</v>
      </c>
      <c r="H21" s="68" t="s">
        <v>55</v>
      </c>
      <c r="I21" s="66" t="str">
        <f t="shared" ca="1" si="0"/>
        <v>Not Retired</v>
      </c>
    </row>
    <row r="22" spans="1:9" ht="14.25" customHeight="1" x14ac:dyDescent="0.35">
      <c r="A22" s="68">
        <f t="shared" si="1"/>
        <v>21</v>
      </c>
      <c r="B22" s="66">
        <v>10214</v>
      </c>
      <c r="C22" s="67" t="s">
        <v>76</v>
      </c>
      <c r="D22" s="68" t="s">
        <v>26</v>
      </c>
      <c r="E22" s="66">
        <v>4287</v>
      </c>
      <c r="F22" s="66">
        <v>2010</v>
      </c>
      <c r="G22" s="66">
        <v>2012</v>
      </c>
      <c r="H22" s="68" t="s">
        <v>59</v>
      </c>
      <c r="I22" s="66" t="str">
        <f t="shared" ca="1" si="0"/>
        <v>Retired</v>
      </c>
    </row>
    <row r="23" spans="1:9" ht="14.25" customHeight="1" x14ac:dyDescent="0.35">
      <c r="A23" s="68">
        <f t="shared" si="1"/>
        <v>22</v>
      </c>
      <c r="B23" s="66">
        <v>10253</v>
      </c>
      <c r="C23" s="67" t="s">
        <v>67</v>
      </c>
      <c r="D23" s="68" t="s">
        <v>26</v>
      </c>
      <c r="E23" s="66">
        <v>4163</v>
      </c>
      <c r="F23" s="66">
        <v>2016</v>
      </c>
      <c r="G23" s="66">
        <v>2018</v>
      </c>
      <c r="H23" s="68" t="s">
        <v>59</v>
      </c>
      <c r="I23" s="66" t="str">
        <f t="shared" ca="1" si="0"/>
        <v>Retired</v>
      </c>
    </row>
    <row r="24" spans="1:9" ht="14.25" customHeight="1" x14ac:dyDescent="0.35">
      <c r="A24" s="68">
        <f t="shared" si="1"/>
        <v>23</v>
      </c>
      <c r="B24" s="66">
        <v>10234</v>
      </c>
      <c r="C24" s="67" t="s">
        <v>77</v>
      </c>
      <c r="D24" s="68" t="s">
        <v>26</v>
      </c>
      <c r="E24" s="66">
        <v>2989</v>
      </c>
      <c r="F24" s="66">
        <v>2013</v>
      </c>
      <c r="G24" s="66">
        <v>2016</v>
      </c>
      <c r="H24" s="68" t="s">
        <v>59</v>
      </c>
      <c r="I24" s="66" t="str">
        <f t="shared" ca="1" si="0"/>
        <v>Retired</v>
      </c>
    </row>
    <row r="25" spans="1:9" ht="14.25" customHeight="1" x14ac:dyDescent="0.35">
      <c r="A25" s="68">
        <f t="shared" si="1"/>
        <v>24</v>
      </c>
      <c r="B25" s="66">
        <v>10307</v>
      </c>
      <c r="C25" s="67" t="s">
        <v>78</v>
      </c>
      <c r="D25" s="68" t="s">
        <v>21</v>
      </c>
      <c r="E25" s="66">
        <v>10001</v>
      </c>
      <c r="F25" s="66">
        <v>2022</v>
      </c>
      <c r="G25" s="66">
        <v>2026</v>
      </c>
      <c r="H25" s="68" t="s">
        <v>55</v>
      </c>
      <c r="I25" s="66" t="str">
        <f t="shared" ca="1" si="0"/>
        <v>Not Retired</v>
      </c>
    </row>
    <row r="26" spans="1:9" ht="14.25" customHeight="1" x14ac:dyDescent="0.35">
      <c r="A26" s="68">
        <f t="shared" si="1"/>
        <v>25</v>
      </c>
      <c r="B26" s="66">
        <v>10294</v>
      </c>
      <c r="C26" s="67" t="s">
        <v>79</v>
      </c>
      <c r="D26" s="68" t="s">
        <v>21</v>
      </c>
      <c r="E26" s="66">
        <v>9090</v>
      </c>
      <c r="F26" s="66">
        <v>2021</v>
      </c>
      <c r="G26" s="66" t="s">
        <v>54</v>
      </c>
      <c r="H26" s="68" t="s">
        <v>59</v>
      </c>
      <c r="I26" s="66" t="str">
        <f t="shared" ca="1" si="0"/>
        <v>Not Retired</v>
      </c>
    </row>
    <row r="27" spans="1:9" ht="14.25" customHeight="1" x14ac:dyDescent="0.35">
      <c r="A27" s="68">
        <f t="shared" si="1"/>
        <v>26</v>
      </c>
      <c r="B27" s="66">
        <v>10335</v>
      </c>
      <c r="C27" s="67" t="s">
        <v>80</v>
      </c>
      <c r="D27" s="68" t="s">
        <v>21</v>
      </c>
      <c r="E27" s="66">
        <v>3011</v>
      </c>
      <c r="F27" s="66">
        <v>2024</v>
      </c>
      <c r="G27" s="66">
        <v>2026</v>
      </c>
      <c r="H27" s="68" t="s">
        <v>55</v>
      </c>
      <c r="I27" s="66" t="str">
        <f t="shared" ca="1" si="0"/>
        <v>Not Retired</v>
      </c>
    </row>
    <row r="28" spans="1:9" ht="14.25" customHeight="1" x14ac:dyDescent="0.35">
      <c r="A28" s="68">
        <f t="shared" si="1"/>
        <v>27</v>
      </c>
      <c r="B28" s="66">
        <v>10317</v>
      </c>
      <c r="C28" s="67" t="s">
        <v>81</v>
      </c>
      <c r="D28" s="68" t="s">
        <v>21</v>
      </c>
      <c r="E28" s="66">
        <v>2336</v>
      </c>
      <c r="F28" s="66">
        <v>2023</v>
      </c>
      <c r="G28" s="66">
        <v>2025</v>
      </c>
      <c r="H28" s="68" t="s">
        <v>59</v>
      </c>
      <c r="I28" s="66" t="str">
        <f t="shared" ca="1" si="0"/>
        <v>Retired</v>
      </c>
    </row>
    <row r="29" spans="1:9" ht="14.25" customHeight="1" x14ac:dyDescent="0.35">
      <c r="A29" s="68">
        <f t="shared" si="1"/>
        <v>28</v>
      </c>
      <c r="B29" s="66">
        <v>11384</v>
      </c>
      <c r="C29" s="67" t="s">
        <v>82</v>
      </c>
      <c r="D29" s="68" t="s">
        <v>21</v>
      </c>
      <c r="E29" s="66">
        <v>2102</v>
      </c>
      <c r="F29" s="66">
        <v>2026</v>
      </c>
      <c r="G29" s="66" t="s">
        <v>54</v>
      </c>
      <c r="H29" s="68" t="s">
        <v>55</v>
      </c>
      <c r="I29" s="66" t="str">
        <f t="shared" ca="1" si="0"/>
        <v>Not Retired</v>
      </c>
    </row>
    <row r="30" spans="1:9" ht="14.25" customHeight="1" x14ac:dyDescent="0.35">
      <c r="A30" s="68">
        <f t="shared" si="1"/>
        <v>29</v>
      </c>
      <c r="B30" s="66">
        <v>10318</v>
      </c>
      <c r="C30" s="67" t="s">
        <v>83</v>
      </c>
      <c r="D30" s="68" t="s">
        <v>21</v>
      </c>
      <c r="E30" s="66">
        <v>2083</v>
      </c>
      <c r="F30" s="66">
        <v>2023</v>
      </c>
      <c r="G30" s="66">
        <v>2026</v>
      </c>
      <c r="H30" s="68" t="s">
        <v>59</v>
      </c>
      <c r="I30" s="66" t="str">
        <f t="shared" ca="1" si="0"/>
        <v>Not Retired</v>
      </c>
    </row>
    <row r="31" spans="1:9" ht="14.25" customHeight="1" x14ac:dyDescent="0.35">
      <c r="A31" s="68">
        <f t="shared" si="1"/>
        <v>30</v>
      </c>
      <c r="B31" s="66">
        <v>10292</v>
      </c>
      <c r="C31" s="67" t="s">
        <v>84</v>
      </c>
      <c r="D31" s="68" t="s">
        <v>21</v>
      </c>
      <c r="E31" s="66">
        <v>2048</v>
      </c>
      <c r="F31" s="66">
        <v>2021</v>
      </c>
      <c r="G31" s="66">
        <v>2023</v>
      </c>
      <c r="H31" s="68" t="s">
        <v>59</v>
      </c>
      <c r="I31" s="66" t="str">
        <f t="shared" ca="1" si="0"/>
        <v>Retired</v>
      </c>
    </row>
    <row r="32" spans="1:9" ht="14.25" customHeight="1" x14ac:dyDescent="0.35">
      <c r="A32" s="68">
        <f t="shared" si="1"/>
        <v>31</v>
      </c>
      <c r="B32" s="66">
        <v>10300</v>
      </c>
      <c r="C32" s="67" t="s">
        <v>85</v>
      </c>
      <c r="D32" s="68" t="s">
        <v>21</v>
      </c>
      <c r="E32" s="66">
        <v>1872</v>
      </c>
      <c r="F32" s="66">
        <v>2022</v>
      </c>
      <c r="G32" s="66">
        <v>2026</v>
      </c>
      <c r="H32" s="68" t="s">
        <v>55</v>
      </c>
      <c r="I32" s="66" t="str">
        <f t="shared" ca="1" si="0"/>
        <v>Not Retired</v>
      </c>
    </row>
    <row r="33" spans="1:9" ht="14.25" customHeight="1" x14ac:dyDescent="0.35">
      <c r="A33" s="68">
        <f t="shared" si="1"/>
        <v>32</v>
      </c>
      <c r="B33" s="66">
        <v>10334</v>
      </c>
      <c r="C33" s="67" t="s">
        <v>86</v>
      </c>
      <c r="D33" s="68" t="s">
        <v>21</v>
      </c>
      <c r="E33" s="66">
        <v>906</v>
      </c>
      <c r="F33" s="66">
        <v>2024</v>
      </c>
      <c r="G33" s="66">
        <v>2026</v>
      </c>
      <c r="H33" s="68" t="s">
        <v>55</v>
      </c>
      <c r="I33" s="66" t="str">
        <f t="shared" ca="1" si="0"/>
        <v>Not Retired</v>
      </c>
    </row>
    <row r="34" spans="1:9" ht="14.25" customHeight="1" x14ac:dyDescent="0.35">
      <c r="A34" s="68">
        <f t="shared" si="1"/>
        <v>33</v>
      </c>
      <c r="B34" s="66">
        <v>10353</v>
      </c>
      <c r="C34" s="67" t="s">
        <v>87</v>
      </c>
      <c r="D34" s="68" t="s">
        <v>21</v>
      </c>
      <c r="E34" s="66">
        <v>799</v>
      </c>
      <c r="F34" s="66">
        <v>2025</v>
      </c>
      <c r="G34" s="66" t="s">
        <v>54</v>
      </c>
      <c r="H34" s="68" t="s">
        <v>59</v>
      </c>
      <c r="I34" s="66" t="str">
        <f t="shared" ca="1" si="0"/>
        <v>Not Retired</v>
      </c>
    </row>
    <row r="35" spans="1:9" ht="14.25" customHeight="1" x14ac:dyDescent="0.35">
      <c r="A35" s="68">
        <f t="shared" si="1"/>
        <v>34</v>
      </c>
      <c r="B35" s="66">
        <v>10330</v>
      </c>
      <c r="C35" s="67" t="s">
        <v>88</v>
      </c>
      <c r="D35" s="68" t="s">
        <v>21</v>
      </c>
      <c r="E35" s="66">
        <v>693</v>
      </c>
      <c r="F35" s="66">
        <v>2024</v>
      </c>
      <c r="G35" s="66" t="s">
        <v>54</v>
      </c>
      <c r="H35" s="68" t="s">
        <v>59</v>
      </c>
      <c r="I35" s="66" t="str">
        <f t="shared" ca="1" si="0"/>
        <v>Not Retired</v>
      </c>
    </row>
    <row r="36" spans="1:9" ht="14.25" customHeight="1" x14ac:dyDescent="0.35">
      <c r="A36" s="68">
        <f t="shared" si="1"/>
        <v>35</v>
      </c>
      <c r="B36" s="66">
        <v>21327</v>
      </c>
      <c r="C36" s="67" t="s">
        <v>89</v>
      </c>
      <c r="D36" s="68" t="s">
        <v>22</v>
      </c>
      <c r="E36" s="66">
        <v>2079</v>
      </c>
      <c r="F36" s="66">
        <v>2021</v>
      </c>
      <c r="G36" s="66">
        <v>2024</v>
      </c>
      <c r="H36" s="68" t="s">
        <v>59</v>
      </c>
      <c r="I36" s="66" t="str">
        <f t="shared" ca="1" si="0"/>
        <v>Retired</v>
      </c>
    </row>
    <row r="37" spans="1:9" ht="14.25" customHeight="1" x14ac:dyDescent="0.35">
      <c r="A37" s="68">
        <f t="shared" si="1"/>
        <v>36</v>
      </c>
      <c r="B37" s="66">
        <v>21349</v>
      </c>
      <c r="C37" s="67" t="s">
        <v>90</v>
      </c>
      <c r="D37" s="68" t="s">
        <v>22</v>
      </c>
      <c r="E37" s="66">
        <v>1710</v>
      </c>
      <c r="F37" s="66">
        <v>2024</v>
      </c>
      <c r="G37" s="66" t="s">
        <v>54</v>
      </c>
      <c r="H37" s="68" t="s">
        <v>59</v>
      </c>
      <c r="I37" s="66" t="str">
        <f t="shared" ca="1" si="0"/>
        <v>Not Retired</v>
      </c>
    </row>
    <row r="38" spans="1:9" ht="14.25" customHeight="1" x14ac:dyDescent="0.35">
      <c r="A38" s="68">
        <f t="shared" si="1"/>
        <v>37</v>
      </c>
      <c r="B38" s="66">
        <v>21347</v>
      </c>
      <c r="C38" s="67" t="s">
        <v>91</v>
      </c>
      <c r="D38" s="68" t="s">
        <v>22</v>
      </c>
      <c r="E38" s="66">
        <v>1460</v>
      </c>
      <c r="F38" s="66">
        <v>2024</v>
      </c>
      <c r="G38" s="66">
        <v>2025</v>
      </c>
      <c r="H38" s="68" t="s">
        <v>59</v>
      </c>
      <c r="I38" s="66" t="str">
        <f t="shared" ca="1" si="0"/>
        <v>Retired</v>
      </c>
    </row>
    <row r="39" spans="1:9" ht="14.25" customHeight="1" x14ac:dyDescent="0.35">
      <c r="A39" s="68">
        <f t="shared" si="1"/>
        <v>38</v>
      </c>
      <c r="B39" s="66">
        <v>21328</v>
      </c>
      <c r="C39" s="67" t="s">
        <v>92</v>
      </c>
      <c r="D39" s="68" t="s">
        <v>22</v>
      </c>
      <c r="E39" s="66">
        <v>1326</v>
      </c>
      <c r="F39" s="66">
        <v>2021</v>
      </c>
      <c r="G39" s="66">
        <v>2022</v>
      </c>
      <c r="H39" s="68" t="s">
        <v>59</v>
      </c>
      <c r="I39" s="66" t="str">
        <f t="shared" ca="1" si="0"/>
        <v>Retired</v>
      </c>
    </row>
    <row r="40" spans="1:9" ht="14.25" customHeight="1" x14ac:dyDescent="0.35">
      <c r="A40" s="68">
        <f t="shared" si="1"/>
        <v>39</v>
      </c>
      <c r="B40" s="66">
        <v>21361</v>
      </c>
      <c r="C40" s="67" t="s">
        <v>93</v>
      </c>
      <c r="D40" s="68" t="s">
        <v>22</v>
      </c>
      <c r="E40" s="66">
        <v>1125</v>
      </c>
      <c r="F40" s="66">
        <v>2025</v>
      </c>
      <c r="G40" s="66" t="s">
        <v>54</v>
      </c>
      <c r="H40" s="68" t="s">
        <v>55</v>
      </c>
      <c r="I40" s="66" t="str">
        <f t="shared" ca="1" si="0"/>
        <v>Not Retired</v>
      </c>
    </row>
    <row r="41" spans="1:9" ht="14.25" customHeight="1" x14ac:dyDescent="0.35">
      <c r="A41" s="68">
        <f t="shared" si="1"/>
        <v>40</v>
      </c>
      <c r="B41" s="66">
        <v>21319</v>
      </c>
      <c r="C41" s="67" t="s">
        <v>94</v>
      </c>
      <c r="D41" s="68" t="s">
        <v>22</v>
      </c>
      <c r="E41" s="66">
        <v>1070</v>
      </c>
      <c r="F41" s="66">
        <v>2019</v>
      </c>
      <c r="G41" s="66">
        <v>2022</v>
      </c>
      <c r="H41" s="68" t="s">
        <v>59</v>
      </c>
      <c r="I41" s="66" t="str">
        <f t="shared" ca="1" si="0"/>
        <v>Retired</v>
      </c>
    </row>
    <row r="42" spans="1:9" ht="14.25" customHeight="1" x14ac:dyDescent="0.35">
      <c r="A42" s="68">
        <f t="shared" si="1"/>
        <v>41</v>
      </c>
      <c r="B42" s="66">
        <v>21357</v>
      </c>
      <c r="C42" s="67" t="s">
        <v>95</v>
      </c>
      <c r="D42" s="68" t="s">
        <v>22</v>
      </c>
      <c r="E42" s="66">
        <v>613</v>
      </c>
      <c r="F42" s="66">
        <v>2025</v>
      </c>
      <c r="G42" s="66" t="s">
        <v>54</v>
      </c>
      <c r="H42" s="68" t="s">
        <v>59</v>
      </c>
      <c r="I42" s="66" t="str">
        <f t="shared" ca="1" si="0"/>
        <v>Not Retired</v>
      </c>
    </row>
    <row r="43" spans="1:9" ht="14.25" customHeight="1" x14ac:dyDescent="0.35">
      <c r="A43" s="68">
        <f t="shared" si="1"/>
        <v>42</v>
      </c>
      <c r="B43" s="66">
        <v>76968</v>
      </c>
      <c r="C43" s="67" t="s">
        <v>96</v>
      </c>
      <c r="D43" s="68" t="s">
        <v>32</v>
      </c>
      <c r="E43" s="66">
        <v>3145</v>
      </c>
      <c r="F43" s="66">
        <v>2025</v>
      </c>
      <c r="G43" s="66">
        <v>2026</v>
      </c>
      <c r="H43" s="68" t="s">
        <v>59</v>
      </c>
      <c r="I43" s="66" t="str">
        <f t="shared" ca="1" si="0"/>
        <v>Not Retired</v>
      </c>
    </row>
    <row r="44" spans="1:9" ht="14.25" customHeight="1" x14ac:dyDescent="0.35">
      <c r="A44" s="68">
        <f t="shared" si="1"/>
        <v>43</v>
      </c>
      <c r="B44" s="66">
        <v>76344</v>
      </c>
      <c r="C44" s="67" t="s">
        <v>97</v>
      </c>
      <c r="D44" s="68" t="s">
        <v>25</v>
      </c>
      <c r="E44" s="66">
        <v>1297</v>
      </c>
      <c r="F44" s="66">
        <v>2026</v>
      </c>
      <c r="G44" s="66" t="s">
        <v>54</v>
      </c>
      <c r="H44" s="68" t="s">
        <v>55</v>
      </c>
      <c r="I44" s="66" t="str">
        <f t="shared" ca="1" si="0"/>
        <v>Not Retired</v>
      </c>
    </row>
    <row r="45" spans="1:9" ht="14.25" customHeight="1" x14ac:dyDescent="0.35">
      <c r="A45" s="68">
        <f t="shared" si="1"/>
        <v>44</v>
      </c>
      <c r="B45" s="66">
        <v>40179</v>
      </c>
      <c r="C45" s="67" t="s">
        <v>98</v>
      </c>
      <c r="D45" s="68" t="s">
        <v>29</v>
      </c>
      <c r="E45" s="66">
        <v>4502</v>
      </c>
      <c r="F45" s="66">
        <v>2016</v>
      </c>
      <c r="G45" s="66" t="s">
        <v>54</v>
      </c>
      <c r="H45" s="68" t="s">
        <v>55</v>
      </c>
      <c r="I45" s="66" t="str">
        <f t="shared" ca="1" si="0"/>
        <v>Not Retired</v>
      </c>
    </row>
    <row r="46" spans="1:9" ht="14.25" customHeight="1" x14ac:dyDescent="0.35">
      <c r="A46" s="68">
        <f t="shared" si="1"/>
        <v>45</v>
      </c>
      <c r="B46" s="66">
        <v>41843</v>
      </c>
      <c r="C46" s="67" t="s">
        <v>99</v>
      </c>
      <c r="D46" s="68" t="s">
        <v>29</v>
      </c>
      <c r="E46" s="66">
        <v>3171</v>
      </c>
      <c r="F46" s="66">
        <v>2025</v>
      </c>
      <c r="G46" s="66">
        <v>2026</v>
      </c>
      <c r="H46" s="68" t="s">
        <v>55</v>
      </c>
      <c r="I46" s="66" t="str">
        <f t="shared" ca="1" si="0"/>
        <v>Not Retired</v>
      </c>
    </row>
    <row r="47" spans="1:9" ht="14.25" customHeight="1" x14ac:dyDescent="0.35">
      <c r="A47" s="68">
        <f t="shared" si="1"/>
        <v>46</v>
      </c>
      <c r="B47" s="66">
        <v>77256</v>
      </c>
      <c r="C47" s="67" t="s">
        <v>100</v>
      </c>
      <c r="D47" s="68" t="s">
        <v>23</v>
      </c>
      <c r="E47" s="66">
        <v>357</v>
      </c>
      <c r="F47" s="66">
        <v>2026</v>
      </c>
      <c r="G47" s="66" t="s">
        <v>54</v>
      </c>
      <c r="H47" s="68" t="s">
        <v>59</v>
      </c>
      <c r="I47" s="66" t="str">
        <f t="shared" ca="1" si="0"/>
        <v>Not Retired</v>
      </c>
    </row>
    <row r="48" spans="1:9" ht="14.25" customHeight="1" x14ac:dyDescent="0.35">
      <c r="A48" s="68">
        <f t="shared" si="1"/>
        <v>47</v>
      </c>
      <c r="B48" s="66">
        <v>77242</v>
      </c>
      <c r="C48" s="67" t="s">
        <v>101</v>
      </c>
      <c r="D48" s="68" t="s">
        <v>23</v>
      </c>
      <c r="E48" s="66">
        <v>275</v>
      </c>
      <c r="F48" s="66">
        <v>2025</v>
      </c>
      <c r="G48" s="66">
        <v>2026</v>
      </c>
      <c r="H48" s="68" t="s">
        <v>59</v>
      </c>
      <c r="I48" s="66" t="str">
        <f t="shared" ca="1" si="0"/>
        <v>Not Retired</v>
      </c>
    </row>
    <row r="49" spans="1:9" ht="14.25" customHeight="1" x14ac:dyDescent="0.35">
      <c r="A49" s="68">
        <f t="shared" si="1"/>
        <v>48</v>
      </c>
      <c r="B49" s="66">
        <v>75192</v>
      </c>
      <c r="C49" s="67" t="s">
        <v>102</v>
      </c>
      <c r="D49" s="68" t="s">
        <v>19</v>
      </c>
      <c r="E49" s="66">
        <v>7541</v>
      </c>
      <c r="F49" s="66">
        <v>2017</v>
      </c>
      <c r="G49" s="66">
        <v>2026</v>
      </c>
      <c r="H49" s="68" t="s">
        <v>55</v>
      </c>
      <c r="I49" s="66" t="str">
        <f t="shared" ca="1" si="0"/>
        <v>Not Retired</v>
      </c>
    </row>
    <row r="50" spans="1:9" ht="14.25" customHeight="1" x14ac:dyDescent="0.35">
      <c r="A50" s="68">
        <f t="shared" si="1"/>
        <v>49</v>
      </c>
      <c r="B50" s="66">
        <v>75371</v>
      </c>
      <c r="C50" s="67" t="s">
        <v>103</v>
      </c>
      <c r="D50" s="68" t="s">
        <v>19</v>
      </c>
      <c r="E50" s="66">
        <v>2319</v>
      </c>
      <c r="F50" s="66">
        <v>2023</v>
      </c>
      <c r="G50" s="66">
        <v>2024</v>
      </c>
      <c r="H50" s="68" t="s">
        <v>55</v>
      </c>
      <c r="I50" s="66" t="str">
        <f t="shared" ca="1" si="0"/>
        <v>Retired</v>
      </c>
    </row>
    <row r="51" spans="1:9" ht="14.25" customHeight="1" x14ac:dyDescent="0.35">
      <c r="A51" s="68">
        <f t="shared" si="1"/>
        <v>50</v>
      </c>
      <c r="B51" s="66">
        <v>75308</v>
      </c>
      <c r="C51" s="67" t="s">
        <v>188</v>
      </c>
      <c r="D51" s="68" t="s">
        <v>19</v>
      </c>
      <c r="E51" s="66">
        <v>2314</v>
      </c>
      <c r="F51" s="66">
        <v>2021</v>
      </c>
      <c r="G51" s="66">
        <v>2024</v>
      </c>
      <c r="H51" s="68" t="s">
        <v>59</v>
      </c>
      <c r="I51" s="66" t="str">
        <f t="shared" ca="1" si="0"/>
        <v>Retired</v>
      </c>
    </row>
    <row r="52" spans="1:9" ht="14.25" customHeight="1" x14ac:dyDescent="0.35">
      <c r="A52" s="68">
        <f t="shared" si="1"/>
        <v>51</v>
      </c>
      <c r="B52" s="66">
        <v>75382</v>
      </c>
      <c r="C52" s="67" t="s">
        <v>104</v>
      </c>
      <c r="D52" s="68" t="s">
        <v>19</v>
      </c>
      <c r="E52" s="66">
        <v>1931</v>
      </c>
      <c r="F52" s="66">
        <v>2024</v>
      </c>
      <c r="G52" s="66">
        <v>2026</v>
      </c>
      <c r="H52" s="68" t="s">
        <v>55</v>
      </c>
      <c r="I52" s="66" t="str">
        <f t="shared" ca="1" si="0"/>
        <v>Not Retired</v>
      </c>
    </row>
    <row r="53" spans="1:9" ht="14.25" customHeight="1" x14ac:dyDescent="0.35">
      <c r="A53" s="68">
        <f t="shared" si="1"/>
        <v>52</v>
      </c>
      <c r="B53" s="66">
        <v>75255</v>
      </c>
      <c r="C53" s="67" t="s">
        <v>105</v>
      </c>
      <c r="D53" s="68" t="s">
        <v>19</v>
      </c>
      <c r="E53" s="66">
        <v>1771</v>
      </c>
      <c r="F53" s="66">
        <v>2019</v>
      </c>
      <c r="G53" s="66">
        <v>2022</v>
      </c>
      <c r="H53" s="68" t="s">
        <v>59</v>
      </c>
      <c r="I53" s="66" t="str">
        <f t="shared" ca="1" si="0"/>
        <v>Retired</v>
      </c>
    </row>
    <row r="54" spans="1:9" ht="14.25" customHeight="1" x14ac:dyDescent="0.35">
      <c r="A54" s="68">
        <f t="shared" si="1"/>
        <v>53</v>
      </c>
      <c r="B54" s="66">
        <v>75105</v>
      </c>
      <c r="C54" s="67" t="s">
        <v>102</v>
      </c>
      <c r="D54" s="68" t="s">
        <v>19</v>
      </c>
      <c r="E54" s="66">
        <v>1329</v>
      </c>
      <c r="F54" s="66">
        <v>2015</v>
      </c>
      <c r="G54" s="66">
        <v>2017</v>
      </c>
      <c r="H54" s="68" t="s">
        <v>59</v>
      </c>
      <c r="I54" s="66" t="str">
        <f t="shared" ca="1" si="0"/>
        <v>Retired</v>
      </c>
    </row>
    <row r="55" spans="1:9" ht="14.25" customHeight="1" x14ac:dyDescent="0.35">
      <c r="A55" s="68">
        <f t="shared" si="1"/>
        <v>54</v>
      </c>
      <c r="B55" s="66">
        <v>75398</v>
      </c>
      <c r="C55" s="67" t="s">
        <v>106</v>
      </c>
      <c r="D55" s="68" t="s">
        <v>19</v>
      </c>
      <c r="E55" s="66">
        <v>1138</v>
      </c>
      <c r="F55" s="66">
        <v>2024</v>
      </c>
      <c r="G55" s="66" t="s">
        <v>54</v>
      </c>
      <c r="H55" s="68" t="s">
        <v>59</v>
      </c>
      <c r="I55" s="66" t="str">
        <f t="shared" ca="1" si="0"/>
        <v>Not Retired</v>
      </c>
    </row>
    <row r="56" spans="1:9" ht="14.25" customHeight="1" x14ac:dyDescent="0.35">
      <c r="A56" s="68">
        <f t="shared" si="1"/>
        <v>55</v>
      </c>
      <c r="B56" s="66">
        <v>75318</v>
      </c>
      <c r="C56" s="67" t="s">
        <v>107</v>
      </c>
      <c r="D56" s="68" t="s">
        <v>19</v>
      </c>
      <c r="E56" s="66">
        <v>1073</v>
      </c>
      <c r="F56" s="66">
        <v>2020</v>
      </c>
      <c r="G56" s="66">
        <v>2023</v>
      </c>
      <c r="H56" s="68" t="s">
        <v>59</v>
      </c>
      <c r="I56" s="66" t="str">
        <f t="shared" ca="1" si="0"/>
        <v>Retired</v>
      </c>
    </row>
    <row r="57" spans="1:9" ht="14.25" customHeight="1" x14ac:dyDescent="0.35">
      <c r="A57" s="68">
        <f t="shared" si="1"/>
        <v>56</v>
      </c>
      <c r="B57" s="66">
        <v>75403</v>
      </c>
      <c r="C57" s="67" t="s">
        <v>108</v>
      </c>
      <c r="D57" s="68" t="s">
        <v>19</v>
      </c>
      <c r="E57" s="66">
        <v>1048</v>
      </c>
      <c r="F57" s="66">
        <v>2025</v>
      </c>
      <c r="G57" s="66" t="s">
        <v>54</v>
      </c>
      <c r="H57" s="68" t="s">
        <v>55</v>
      </c>
      <c r="I57" s="66" t="str">
        <f t="shared" ca="1" si="0"/>
        <v>Not Retired</v>
      </c>
    </row>
    <row r="58" spans="1:9" ht="14.25" customHeight="1" x14ac:dyDescent="0.35">
      <c r="A58" s="68">
        <f t="shared" si="1"/>
        <v>57</v>
      </c>
      <c r="B58" s="66">
        <v>75430</v>
      </c>
      <c r="C58" s="67" t="s">
        <v>109</v>
      </c>
      <c r="D58" s="68" t="s">
        <v>19</v>
      </c>
      <c r="E58" s="66">
        <v>1010</v>
      </c>
      <c r="F58" s="66">
        <v>2025</v>
      </c>
      <c r="G58" s="66">
        <v>2026</v>
      </c>
      <c r="H58" s="68" t="s">
        <v>55</v>
      </c>
      <c r="I58" s="66" t="str">
        <f t="shared" ca="1" si="0"/>
        <v>Not Retired</v>
      </c>
    </row>
    <row r="59" spans="1:9" ht="14.25" customHeight="1" x14ac:dyDescent="0.35">
      <c r="A59" s="68">
        <f t="shared" si="1"/>
        <v>58</v>
      </c>
      <c r="B59" s="66">
        <v>75304</v>
      </c>
      <c r="C59" s="67" t="s">
        <v>110</v>
      </c>
      <c r="D59" s="68" t="s">
        <v>19</v>
      </c>
      <c r="E59" s="66">
        <v>834</v>
      </c>
      <c r="F59" s="66">
        <v>2021</v>
      </c>
      <c r="G59" s="66">
        <v>2025</v>
      </c>
      <c r="H59" s="68" t="s">
        <v>59</v>
      </c>
      <c r="I59" s="66" t="str">
        <f t="shared" ca="1" si="0"/>
        <v>Retired</v>
      </c>
    </row>
    <row r="60" spans="1:9" ht="14.25" customHeight="1" x14ac:dyDescent="0.35">
      <c r="A60" s="68">
        <f t="shared" si="1"/>
        <v>59</v>
      </c>
      <c r="B60" s="66">
        <v>75429</v>
      </c>
      <c r="C60" s="67" t="s">
        <v>111</v>
      </c>
      <c r="D60" s="68" t="s">
        <v>19</v>
      </c>
      <c r="E60" s="66">
        <v>730</v>
      </c>
      <c r="F60" s="66">
        <v>2025</v>
      </c>
      <c r="G60" s="66">
        <v>2026</v>
      </c>
      <c r="H60" s="68" t="s">
        <v>55</v>
      </c>
      <c r="I60" s="66" t="str">
        <f t="shared" ca="1" si="0"/>
        <v>Not Retired</v>
      </c>
    </row>
    <row r="61" spans="1:9" ht="14.25" customHeight="1" x14ac:dyDescent="0.35">
      <c r="A61" s="68">
        <f t="shared" si="1"/>
        <v>60</v>
      </c>
      <c r="B61" s="66">
        <v>75102</v>
      </c>
      <c r="C61" s="67" t="s">
        <v>112</v>
      </c>
      <c r="D61" s="68" t="s">
        <v>19</v>
      </c>
      <c r="E61" s="66">
        <v>717</v>
      </c>
      <c r="F61" s="66">
        <v>2015</v>
      </c>
      <c r="G61" s="66">
        <v>2018</v>
      </c>
      <c r="H61" s="68" t="s">
        <v>59</v>
      </c>
      <c r="I61" s="66" t="str">
        <f t="shared" ca="1" si="0"/>
        <v>Retired</v>
      </c>
    </row>
    <row r="62" spans="1:9" ht="14.25" customHeight="1" x14ac:dyDescent="0.35">
      <c r="A62" s="68">
        <f t="shared" si="1"/>
        <v>61</v>
      </c>
      <c r="B62" s="66">
        <v>75407</v>
      </c>
      <c r="C62" s="67" t="s">
        <v>113</v>
      </c>
      <c r="D62" s="68" t="s">
        <v>19</v>
      </c>
      <c r="E62" s="66">
        <v>700</v>
      </c>
      <c r="F62" s="66">
        <v>2025</v>
      </c>
      <c r="G62" s="66" t="s">
        <v>54</v>
      </c>
      <c r="H62" s="68" t="s">
        <v>59</v>
      </c>
      <c r="I62" s="66" t="str">
        <f t="shared" ca="1" si="0"/>
        <v>Not Retired</v>
      </c>
    </row>
    <row r="63" spans="1:9" ht="14.25" customHeight="1" x14ac:dyDescent="0.35">
      <c r="A63" s="68">
        <f t="shared" si="1"/>
        <v>62</v>
      </c>
      <c r="B63" s="66">
        <v>75276</v>
      </c>
      <c r="C63" s="67" t="s">
        <v>114</v>
      </c>
      <c r="D63" s="68" t="s">
        <v>19</v>
      </c>
      <c r="E63" s="66">
        <v>647</v>
      </c>
      <c r="F63" s="66">
        <v>2020</v>
      </c>
      <c r="G63" s="66">
        <v>2021</v>
      </c>
      <c r="H63" s="68" t="s">
        <v>59</v>
      </c>
      <c r="I63" s="66" t="str">
        <f t="shared" ca="1" si="0"/>
        <v>Retired</v>
      </c>
    </row>
    <row r="64" spans="1:9" ht="14.25" customHeight="1" x14ac:dyDescent="0.35">
      <c r="A64" s="68">
        <f t="shared" si="1"/>
        <v>63</v>
      </c>
      <c r="B64" s="66">
        <v>75277</v>
      </c>
      <c r="C64" s="67" t="s">
        <v>115</v>
      </c>
      <c r="D64" s="68" t="s">
        <v>19</v>
      </c>
      <c r="E64" s="66">
        <v>625</v>
      </c>
      <c r="F64" s="66">
        <v>2020</v>
      </c>
      <c r="G64" s="66">
        <v>2022</v>
      </c>
      <c r="H64" s="68" t="s">
        <v>55</v>
      </c>
      <c r="I64" s="66" t="str">
        <f t="shared" ca="1" si="0"/>
        <v>Retired</v>
      </c>
    </row>
    <row r="65" spans="1:9" ht="14.25" customHeight="1" x14ac:dyDescent="0.35">
      <c r="A65" s="68">
        <f t="shared" si="1"/>
        <v>64</v>
      </c>
      <c r="B65" s="66">
        <v>75328</v>
      </c>
      <c r="C65" s="67" t="s">
        <v>116</v>
      </c>
      <c r="D65" s="68" t="s">
        <v>19</v>
      </c>
      <c r="E65" s="66">
        <v>584</v>
      </c>
      <c r="F65" s="66">
        <v>2022</v>
      </c>
      <c r="G65" s="66">
        <v>2026</v>
      </c>
      <c r="H65" s="68" t="s">
        <v>59</v>
      </c>
      <c r="I65" s="66" t="str">
        <f t="shared" ca="1" si="0"/>
        <v>Not Retired</v>
      </c>
    </row>
    <row r="66" spans="1:9" ht="14.25" customHeight="1" x14ac:dyDescent="0.35">
      <c r="A66" s="68">
        <f t="shared" si="1"/>
        <v>65</v>
      </c>
      <c r="B66" s="66">
        <v>75452</v>
      </c>
      <c r="C66" s="67" t="s">
        <v>117</v>
      </c>
      <c r="D66" s="68" t="s">
        <v>19</v>
      </c>
      <c r="E66" s="66">
        <v>569</v>
      </c>
      <c r="F66" s="66">
        <v>2026</v>
      </c>
      <c r="G66" s="66" t="s">
        <v>54</v>
      </c>
      <c r="H66" s="68" t="s">
        <v>59</v>
      </c>
      <c r="I66" s="66" t="str">
        <f t="shared" ref="I66:I129" ca="1" si="2">IF(B66="","",IF(G66="-","Not Retired",IF(G66&lt;YEAR(NOW()),"Retired","Not Retired")))</f>
        <v>Not Retired</v>
      </c>
    </row>
    <row r="67" spans="1:9" ht="14.25" customHeight="1" x14ac:dyDescent="0.35">
      <c r="A67" s="68">
        <f t="shared" ref="A67:A130" si="3">+A66+1</f>
        <v>66</v>
      </c>
      <c r="B67" s="66">
        <v>75082</v>
      </c>
      <c r="C67" s="67" t="s">
        <v>118</v>
      </c>
      <c r="D67" s="68" t="s">
        <v>19</v>
      </c>
      <c r="E67" s="66">
        <v>355</v>
      </c>
      <c r="F67" s="66">
        <v>2015</v>
      </c>
      <c r="G67" s="66">
        <v>2016</v>
      </c>
      <c r="H67" s="68" t="s">
        <v>59</v>
      </c>
      <c r="I67" s="66" t="str">
        <f t="shared" ca="1" si="2"/>
        <v>Retired</v>
      </c>
    </row>
    <row r="68" spans="1:9" ht="14.25" customHeight="1" x14ac:dyDescent="0.35">
      <c r="A68" s="68">
        <f t="shared" si="3"/>
        <v>67</v>
      </c>
      <c r="B68" s="66">
        <v>75112</v>
      </c>
      <c r="C68" s="67" t="s">
        <v>119</v>
      </c>
      <c r="D68" s="68" t="s">
        <v>19</v>
      </c>
      <c r="E68" s="66">
        <v>186</v>
      </c>
      <c r="F68" s="66">
        <v>2015</v>
      </c>
      <c r="G68" s="66">
        <v>2016</v>
      </c>
      <c r="H68" s="68" t="s">
        <v>59</v>
      </c>
      <c r="I68" s="66" t="str">
        <f t="shared" ca="1" si="2"/>
        <v>Retired</v>
      </c>
    </row>
    <row r="69" spans="1:9" ht="14.25" customHeight="1" x14ac:dyDescent="0.35">
      <c r="A69" s="68">
        <f t="shared" si="3"/>
        <v>68</v>
      </c>
      <c r="B69" s="66">
        <v>75111</v>
      </c>
      <c r="C69" s="67" t="s">
        <v>120</v>
      </c>
      <c r="D69" s="68" t="s">
        <v>19</v>
      </c>
      <c r="E69" s="66">
        <v>160</v>
      </c>
      <c r="F69" s="66">
        <v>2015</v>
      </c>
      <c r="G69" s="66">
        <v>2017</v>
      </c>
      <c r="H69" s="68" t="s">
        <v>59</v>
      </c>
      <c r="I69" s="66" t="str">
        <f t="shared" ca="1" si="2"/>
        <v>Retired</v>
      </c>
    </row>
    <row r="70" spans="1:9" ht="14.25" customHeight="1" x14ac:dyDescent="0.35">
      <c r="A70" s="68">
        <f t="shared" si="3"/>
        <v>69</v>
      </c>
      <c r="B70" s="66">
        <v>75107</v>
      </c>
      <c r="C70" s="67" t="s">
        <v>121</v>
      </c>
      <c r="D70" s="68" t="s">
        <v>19</v>
      </c>
      <c r="E70" s="66">
        <v>85</v>
      </c>
      <c r="F70" s="66">
        <v>2015</v>
      </c>
      <c r="G70" s="66">
        <v>2016</v>
      </c>
      <c r="H70" s="68" t="s">
        <v>59</v>
      </c>
      <c r="I70" s="66" t="str">
        <f t="shared" ca="1" si="2"/>
        <v>Retired</v>
      </c>
    </row>
    <row r="71" spans="1:9" ht="14.25" customHeight="1" x14ac:dyDescent="0.35">
      <c r="A71" s="68">
        <f t="shared" si="3"/>
        <v>70</v>
      </c>
      <c r="B71" s="66">
        <v>75118</v>
      </c>
      <c r="C71" s="67" t="s">
        <v>122</v>
      </c>
      <c r="D71" s="68" t="s">
        <v>19</v>
      </c>
      <c r="E71" s="66">
        <v>82</v>
      </c>
      <c r="F71" s="66">
        <v>2016</v>
      </c>
      <c r="G71" s="66">
        <v>2017</v>
      </c>
      <c r="H71" s="68" t="s">
        <v>59</v>
      </c>
      <c r="I71" s="66" t="str">
        <f t="shared" ca="1" si="2"/>
        <v>Retired</v>
      </c>
    </row>
    <row r="72" spans="1:9" ht="14.25" customHeight="1" x14ac:dyDescent="0.35">
      <c r="A72" s="68">
        <f t="shared" si="3"/>
        <v>71</v>
      </c>
      <c r="B72" s="66">
        <v>75114</v>
      </c>
      <c r="C72" s="67" t="s">
        <v>123</v>
      </c>
      <c r="D72" s="68" t="s">
        <v>19</v>
      </c>
      <c r="E72" s="66">
        <v>81</v>
      </c>
      <c r="F72" s="66">
        <v>2016</v>
      </c>
      <c r="G72" s="66">
        <v>2017</v>
      </c>
      <c r="H72" s="68" t="s">
        <v>59</v>
      </c>
      <c r="I72" s="66" t="str">
        <f t="shared" ca="1" si="2"/>
        <v>Retired</v>
      </c>
    </row>
    <row r="73" spans="1:9" ht="14.25" customHeight="1" x14ac:dyDescent="0.35">
      <c r="A73" s="68">
        <f t="shared" si="3"/>
        <v>72</v>
      </c>
      <c r="B73" s="66">
        <v>72037</v>
      </c>
      <c r="C73" s="67" t="s">
        <v>124</v>
      </c>
      <c r="D73" s="68" t="s">
        <v>24</v>
      </c>
      <c r="E73" s="66">
        <v>1972</v>
      </c>
      <c r="F73" s="66">
        <v>2025</v>
      </c>
      <c r="G73" s="66" t="s">
        <v>54</v>
      </c>
      <c r="H73" s="68" t="s">
        <v>59</v>
      </c>
      <c r="I73" s="66" t="str">
        <f t="shared" ca="1" si="2"/>
        <v>Not Retired</v>
      </c>
    </row>
    <row r="74" spans="1:9" ht="14.25" customHeight="1" x14ac:dyDescent="0.35">
      <c r="A74" s="68">
        <f t="shared" si="3"/>
        <v>73</v>
      </c>
      <c r="B74" s="66">
        <v>71426</v>
      </c>
      <c r="C74" s="67" t="s">
        <v>125</v>
      </c>
      <c r="D74" s="68" t="s">
        <v>24</v>
      </c>
      <c r="E74" s="66">
        <v>540</v>
      </c>
      <c r="F74" s="66">
        <v>2023</v>
      </c>
      <c r="G74" s="66">
        <v>2026</v>
      </c>
      <c r="H74" s="68" t="s">
        <v>55</v>
      </c>
      <c r="I74" s="66" t="str">
        <f t="shared" ca="1" si="2"/>
        <v>Not Retired</v>
      </c>
    </row>
    <row r="75" spans="1:9" ht="14.25" customHeight="1" x14ac:dyDescent="0.35">
      <c r="A75" s="68">
        <f t="shared" si="3"/>
        <v>74</v>
      </c>
      <c r="B75" s="66">
        <v>72046</v>
      </c>
      <c r="C75" s="67" t="s">
        <v>126</v>
      </c>
      <c r="D75" s="68" t="s">
        <v>24</v>
      </c>
      <c r="E75" s="66">
        <v>421</v>
      </c>
      <c r="F75" s="66">
        <v>2025</v>
      </c>
      <c r="G75" s="66" t="s">
        <v>54</v>
      </c>
      <c r="H75" s="68" t="s">
        <v>59</v>
      </c>
      <c r="I75" s="66" t="str">
        <f t="shared" ca="1" si="2"/>
        <v>Not Retired</v>
      </c>
    </row>
    <row r="76" spans="1:9" ht="14.25" customHeight="1" x14ac:dyDescent="0.35">
      <c r="A76" s="68">
        <f t="shared" si="3"/>
        <v>75</v>
      </c>
      <c r="B76" s="66">
        <v>42110</v>
      </c>
      <c r="C76" s="67" t="s">
        <v>127</v>
      </c>
      <c r="D76" s="68" t="s">
        <v>27</v>
      </c>
      <c r="E76" s="66">
        <v>2573</v>
      </c>
      <c r="F76" s="66">
        <v>2019</v>
      </c>
      <c r="G76" s="66">
        <v>2022</v>
      </c>
      <c r="H76" s="68" t="s">
        <v>59</v>
      </c>
      <c r="I76" s="66" t="str">
        <f t="shared" ca="1" si="2"/>
        <v>Retired</v>
      </c>
    </row>
    <row r="77" spans="1:9" ht="14.25" customHeight="1" x14ac:dyDescent="0.35">
      <c r="A77" s="68">
        <f t="shared" si="3"/>
        <v>76</v>
      </c>
      <c r="B77" s="66">
        <v>42109</v>
      </c>
      <c r="C77" s="67" t="s">
        <v>128</v>
      </c>
      <c r="D77" s="68" t="s">
        <v>27</v>
      </c>
      <c r="E77" s="66">
        <v>463</v>
      </c>
      <c r="F77" s="66">
        <v>2020</v>
      </c>
      <c r="G77" s="66">
        <v>2021</v>
      </c>
      <c r="H77" s="68" t="s">
        <v>59</v>
      </c>
      <c r="I77" s="66" t="str">
        <f t="shared" ca="1" si="2"/>
        <v>Retired</v>
      </c>
    </row>
    <row r="78" spans="1:9" ht="14.25" customHeight="1" x14ac:dyDescent="0.35">
      <c r="A78" s="68">
        <f t="shared" si="3"/>
        <v>77</v>
      </c>
      <c r="B78" s="66">
        <v>77256</v>
      </c>
      <c r="C78" s="67" t="s">
        <v>100</v>
      </c>
      <c r="D78" s="68" t="s">
        <v>23</v>
      </c>
      <c r="E78" s="66">
        <v>357</v>
      </c>
      <c r="F78" s="66">
        <v>2026</v>
      </c>
      <c r="G78" s="66" t="s">
        <v>54</v>
      </c>
      <c r="H78" s="68" t="s">
        <v>59</v>
      </c>
      <c r="I78" s="66" t="str">
        <f t="shared" ca="1" si="2"/>
        <v>Not Retired</v>
      </c>
    </row>
    <row r="79" spans="1:9" ht="14.25" customHeight="1" x14ac:dyDescent="0.35">
      <c r="A79" s="68">
        <f t="shared" si="3"/>
        <v>78</v>
      </c>
      <c r="B79" s="66">
        <v>43020</v>
      </c>
      <c r="C79" s="67" t="s">
        <v>129</v>
      </c>
      <c r="D79" s="68" t="s">
        <v>28</v>
      </c>
      <c r="E79" s="66">
        <v>2842</v>
      </c>
      <c r="F79" s="66">
        <v>2026</v>
      </c>
      <c r="G79" s="66" t="s">
        <v>54</v>
      </c>
      <c r="H79" s="68" t="s">
        <v>59</v>
      </c>
      <c r="I79" s="66" t="str">
        <f t="shared" ca="1" si="2"/>
        <v>Not Retired</v>
      </c>
    </row>
    <row r="80" spans="1:9" ht="14.25" customHeight="1" x14ac:dyDescent="0.35">
      <c r="A80" s="68">
        <f t="shared" si="3"/>
        <v>79</v>
      </c>
      <c r="B80" s="66">
        <v>11375</v>
      </c>
      <c r="C80" s="67" t="s">
        <v>130</v>
      </c>
      <c r="D80" s="68" t="s">
        <v>21</v>
      </c>
      <c r="E80" s="66">
        <v>735</v>
      </c>
      <c r="F80" s="66">
        <v>2026</v>
      </c>
      <c r="G80" s="66" t="s">
        <v>54</v>
      </c>
      <c r="H80" s="68" t="s">
        <v>59</v>
      </c>
      <c r="I80" s="66" t="str">
        <f t="shared" ca="1" si="2"/>
        <v>Not Retired</v>
      </c>
    </row>
    <row r="81" spans="1:10" ht="14.25" customHeight="1" x14ac:dyDescent="0.35">
      <c r="A81" s="68">
        <f t="shared" si="3"/>
        <v>80</v>
      </c>
      <c r="B81" s="66">
        <v>21376</v>
      </c>
      <c r="C81" s="67" t="s">
        <v>131</v>
      </c>
      <c r="D81" s="68" t="s">
        <v>22</v>
      </c>
      <c r="E81" s="66">
        <v>1755</v>
      </c>
      <c r="F81" s="66">
        <v>2026</v>
      </c>
      <c r="G81" s="66" t="s">
        <v>54</v>
      </c>
      <c r="H81" s="68" t="s">
        <v>55</v>
      </c>
      <c r="I81" s="66" t="str">
        <f t="shared" ca="1" si="2"/>
        <v>Not Retired</v>
      </c>
    </row>
    <row r="82" spans="1:10" ht="14.25" customHeight="1" x14ac:dyDescent="0.35">
      <c r="A82" s="68">
        <f t="shared" si="3"/>
        <v>81</v>
      </c>
      <c r="B82" s="66">
        <v>72152</v>
      </c>
      <c r="C82" s="67" t="s">
        <v>132</v>
      </c>
      <c r="D82" s="68" t="s">
        <v>30</v>
      </c>
      <c r="E82" s="66">
        <v>2050</v>
      </c>
      <c r="F82" s="66">
        <v>2026</v>
      </c>
      <c r="G82" s="66" t="s">
        <v>54</v>
      </c>
      <c r="H82" s="68" t="s">
        <v>55</v>
      </c>
      <c r="I82" s="66" t="str">
        <f t="shared" ca="1" si="2"/>
        <v>Not Retired</v>
      </c>
    </row>
    <row r="83" spans="1:10" ht="14.25" customHeight="1" x14ac:dyDescent="0.35">
      <c r="A83" s="68">
        <f t="shared" si="3"/>
        <v>82</v>
      </c>
      <c r="B83" s="66">
        <v>72151</v>
      </c>
      <c r="C83" s="67" t="s">
        <v>133</v>
      </c>
      <c r="D83" s="68" t="s">
        <v>30</v>
      </c>
      <c r="E83" s="66">
        <v>587</v>
      </c>
      <c r="F83" s="66">
        <v>2026</v>
      </c>
      <c r="G83" s="66" t="s">
        <v>54</v>
      </c>
      <c r="H83" s="68" t="s">
        <v>55</v>
      </c>
      <c r="I83" s="66" t="str">
        <f t="shared" ca="1" si="2"/>
        <v>Not Retired</v>
      </c>
    </row>
    <row r="84" spans="1:10" ht="14.25" customHeight="1" x14ac:dyDescent="0.35">
      <c r="A84" s="68">
        <f t="shared" si="3"/>
        <v>83</v>
      </c>
      <c r="B84" s="66">
        <v>43019</v>
      </c>
      <c r="C84" s="67" t="s">
        <v>134</v>
      </c>
      <c r="D84" s="68" t="s">
        <v>28</v>
      </c>
      <c r="E84" s="66">
        <v>1498</v>
      </c>
      <c r="F84" s="66">
        <v>2026</v>
      </c>
      <c r="G84" s="66" t="s">
        <v>54</v>
      </c>
      <c r="H84" s="68" t="s">
        <v>59</v>
      </c>
      <c r="I84" s="66" t="str">
        <f t="shared" ca="1" si="2"/>
        <v>Not Retired</v>
      </c>
    </row>
    <row r="85" spans="1:10" ht="14.25" customHeight="1" x14ac:dyDescent="0.35">
      <c r="A85" s="68">
        <f t="shared" si="3"/>
        <v>84</v>
      </c>
      <c r="B85" s="66">
        <v>11376</v>
      </c>
      <c r="C85" s="67" t="s">
        <v>135</v>
      </c>
      <c r="D85" s="68" t="s">
        <v>21</v>
      </c>
      <c r="E85" s="66">
        <v>1060</v>
      </c>
      <c r="F85" s="66">
        <v>2026</v>
      </c>
      <c r="G85" s="66" t="s">
        <v>54</v>
      </c>
      <c r="H85" s="68" t="s">
        <v>59</v>
      </c>
      <c r="I85" s="66" t="str">
        <f t="shared" ca="1" si="2"/>
        <v>Not Retired</v>
      </c>
    </row>
    <row r="86" spans="1:10" ht="14.25" customHeight="1" x14ac:dyDescent="0.35">
      <c r="A86" s="68">
        <f t="shared" si="3"/>
        <v>85</v>
      </c>
      <c r="B86" s="66">
        <v>77255</v>
      </c>
      <c r="C86" s="67" t="s">
        <v>136</v>
      </c>
      <c r="D86" s="68" t="s">
        <v>23</v>
      </c>
      <c r="E86" s="66">
        <v>270</v>
      </c>
      <c r="F86" s="66">
        <v>2026</v>
      </c>
      <c r="G86" s="66" t="s">
        <v>54</v>
      </c>
      <c r="H86" s="68" t="s">
        <v>59</v>
      </c>
      <c r="I86" s="66" t="str">
        <f t="shared" ca="1" si="2"/>
        <v>Not Retired</v>
      </c>
    </row>
    <row r="87" spans="1:10" ht="14.25" customHeight="1" x14ac:dyDescent="0.35">
      <c r="A87" s="68">
        <f t="shared" si="3"/>
        <v>86</v>
      </c>
      <c r="B87" s="66">
        <v>11378</v>
      </c>
      <c r="C87" s="67" t="s">
        <v>137</v>
      </c>
      <c r="D87" s="68" t="s">
        <v>21</v>
      </c>
      <c r="E87" s="66">
        <v>1903</v>
      </c>
      <c r="F87" s="66">
        <v>2026</v>
      </c>
      <c r="G87" s="66" t="s">
        <v>54</v>
      </c>
      <c r="H87" s="68" t="s">
        <v>55</v>
      </c>
      <c r="I87" s="66" t="str">
        <f t="shared" ca="1" si="2"/>
        <v>Not Retired</v>
      </c>
    </row>
    <row r="88" spans="1:10" ht="14.25" customHeight="1" x14ac:dyDescent="0.35">
      <c r="A88" s="68">
        <f t="shared" si="3"/>
        <v>87</v>
      </c>
      <c r="B88" s="66">
        <v>72050</v>
      </c>
      <c r="C88" s="67" t="s">
        <v>138</v>
      </c>
      <c r="D88" s="68" t="s">
        <v>24</v>
      </c>
      <c r="E88" s="66">
        <v>2234</v>
      </c>
      <c r="F88" s="66">
        <v>2026</v>
      </c>
      <c r="G88" s="66" t="s">
        <v>54</v>
      </c>
      <c r="H88" s="68" t="s">
        <v>55</v>
      </c>
      <c r="I88" s="66" t="str">
        <f t="shared" ca="1" si="2"/>
        <v>Not Retired</v>
      </c>
    </row>
    <row r="89" spans="1:10" ht="14.25" customHeight="1" x14ac:dyDescent="0.35">
      <c r="A89" s="68">
        <f t="shared" si="3"/>
        <v>88</v>
      </c>
      <c r="B89" s="66">
        <v>76421</v>
      </c>
      <c r="C89" s="67" t="s">
        <v>139</v>
      </c>
      <c r="D89" s="68" t="s">
        <v>34</v>
      </c>
      <c r="E89" s="66">
        <v>403</v>
      </c>
      <c r="F89" s="66">
        <v>2023</v>
      </c>
      <c r="G89" s="66">
        <v>2025</v>
      </c>
      <c r="H89" s="68" t="s">
        <v>59</v>
      </c>
      <c r="I89" s="66" t="str">
        <f t="shared" ca="1" si="2"/>
        <v>Retired</v>
      </c>
    </row>
    <row r="90" spans="1:10" ht="27.75" customHeight="1" x14ac:dyDescent="0.35">
      <c r="A90" s="68">
        <f t="shared" si="3"/>
        <v>89</v>
      </c>
      <c r="B90" s="66">
        <v>77252</v>
      </c>
      <c r="C90" s="67" t="s">
        <v>140</v>
      </c>
      <c r="D90" s="68" t="s">
        <v>23</v>
      </c>
      <c r="E90" s="66">
        <v>268</v>
      </c>
      <c r="F90" s="66">
        <v>2026</v>
      </c>
      <c r="G90" s="66" t="s">
        <v>54</v>
      </c>
      <c r="H90" s="68" t="s">
        <v>55</v>
      </c>
      <c r="I90" s="66" t="str">
        <f t="shared" ca="1" si="2"/>
        <v>Not Retired</v>
      </c>
      <c r="J90" s="62"/>
    </row>
    <row r="91" spans="1:10" ht="14.25" customHeight="1" x14ac:dyDescent="0.35">
      <c r="A91" s="68">
        <f t="shared" si="3"/>
        <v>90</v>
      </c>
      <c r="B91" s="66">
        <v>77243</v>
      </c>
      <c r="C91" s="67" t="s">
        <v>141</v>
      </c>
      <c r="D91" s="68" t="s">
        <v>23</v>
      </c>
      <c r="E91" s="66">
        <v>251</v>
      </c>
      <c r="F91" s="66">
        <v>2025</v>
      </c>
      <c r="G91" s="66">
        <v>2026</v>
      </c>
      <c r="H91" s="68" t="s">
        <v>55</v>
      </c>
      <c r="I91" s="66" t="str">
        <f t="shared" ca="1" si="2"/>
        <v>Not Retired</v>
      </c>
      <c r="J91" s="62"/>
    </row>
    <row r="92" spans="1:10" ht="14.25" customHeight="1" x14ac:dyDescent="0.35">
      <c r="A92" s="68">
        <f t="shared" si="3"/>
        <v>91</v>
      </c>
      <c r="B92" s="66">
        <v>77244</v>
      </c>
      <c r="C92" s="67" t="s">
        <v>142</v>
      </c>
      <c r="D92" s="68" t="s">
        <v>23</v>
      </c>
      <c r="E92" s="66">
        <v>267</v>
      </c>
      <c r="F92" s="66">
        <v>2025</v>
      </c>
      <c r="G92" s="66">
        <v>2026</v>
      </c>
      <c r="H92" s="68" t="s">
        <v>55</v>
      </c>
      <c r="I92" s="66" t="str">
        <f t="shared" ca="1" si="2"/>
        <v>Not Retired</v>
      </c>
      <c r="J92" s="62"/>
    </row>
    <row r="93" spans="1:10" ht="14.25" customHeight="1" x14ac:dyDescent="0.35">
      <c r="A93" s="68">
        <f t="shared" si="3"/>
        <v>92</v>
      </c>
      <c r="B93" s="66">
        <v>43279</v>
      </c>
      <c r="C93" s="67" t="s">
        <v>143</v>
      </c>
      <c r="D93" s="68" t="s">
        <v>31</v>
      </c>
      <c r="E93" s="66">
        <v>811</v>
      </c>
      <c r="F93" s="66">
        <v>2025</v>
      </c>
      <c r="G93" s="66" t="s">
        <v>54</v>
      </c>
      <c r="H93" s="68" t="s">
        <v>55</v>
      </c>
      <c r="I93" s="66" t="str">
        <f t="shared" ca="1" si="2"/>
        <v>Not Retired</v>
      </c>
      <c r="J93" s="62"/>
    </row>
    <row r="94" spans="1:10" ht="14.25" customHeight="1" x14ac:dyDescent="0.35">
      <c r="A94" s="68">
        <f t="shared" si="3"/>
        <v>93</v>
      </c>
      <c r="B94" s="66">
        <v>75415</v>
      </c>
      <c r="C94" s="67" t="s">
        <v>144</v>
      </c>
      <c r="D94" s="68" t="s">
        <v>19</v>
      </c>
      <c r="E94" s="66">
        <v>529</v>
      </c>
      <c r="F94" s="66">
        <v>2025</v>
      </c>
      <c r="G94" s="66">
        <v>2026</v>
      </c>
      <c r="H94" s="68" t="s">
        <v>55</v>
      </c>
      <c r="I94" s="66" t="str">
        <f t="shared" ca="1" si="2"/>
        <v>Not Retired</v>
      </c>
    </row>
    <row r="95" spans="1:10" ht="14.25" customHeight="1" x14ac:dyDescent="0.35">
      <c r="A95" s="68">
        <f t="shared" si="3"/>
        <v>94</v>
      </c>
      <c r="B95" s="66">
        <v>75408</v>
      </c>
      <c r="C95" s="67" t="s">
        <v>145</v>
      </c>
      <c r="D95" s="68" t="s">
        <v>19</v>
      </c>
      <c r="E95" s="66">
        <v>616</v>
      </c>
      <c r="F95" s="66">
        <v>2025</v>
      </c>
      <c r="G95" s="66" t="s">
        <v>54</v>
      </c>
      <c r="H95" s="68" t="s">
        <v>55</v>
      </c>
      <c r="I95" s="66" t="str">
        <f t="shared" ca="1" si="2"/>
        <v>Not Retired</v>
      </c>
    </row>
    <row r="96" spans="1:10" ht="14.25" customHeight="1" x14ac:dyDescent="0.35">
      <c r="A96" s="68">
        <f t="shared" si="3"/>
        <v>95</v>
      </c>
      <c r="B96" s="66">
        <v>75305</v>
      </c>
      <c r="C96" s="67" t="s">
        <v>146</v>
      </c>
      <c r="D96" s="68" t="s">
        <v>19</v>
      </c>
      <c r="E96" s="66">
        <v>471</v>
      </c>
      <c r="F96" s="66">
        <v>2021</v>
      </c>
      <c r="G96" s="66">
        <v>2022</v>
      </c>
      <c r="H96" s="68" t="s">
        <v>55</v>
      </c>
      <c r="I96" s="66" t="str">
        <f t="shared" ca="1" si="2"/>
        <v>Retired</v>
      </c>
    </row>
    <row r="97" spans="1:9" ht="14.25" customHeight="1" x14ac:dyDescent="0.35">
      <c r="A97" s="68">
        <f t="shared" si="3"/>
        <v>96</v>
      </c>
      <c r="B97" s="66">
        <v>75327</v>
      </c>
      <c r="C97" s="67" t="s">
        <v>147</v>
      </c>
      <c r="D97" s="68" t="s">
        <v>19</v>
      </c>
      <c r="E97" s="66">
        <v>675</v>
      </c>
      <c r="F97" s="66">
        <v>2022</v>
      </c>
      <c r="G97" s="66">
        <v>2023</v>
      </c>
      <c r="H97" s="68" t="s">
        <v>55</v>
      </c>
      <c r="I97" s="66" t="str">
        <f t="shared" ca="1" si="2"/>
        <v>Retired</v>
      </c>
    </row>
    <row r="98" spans="1:9" ht="14.25" customHeight="1" x14ac:dyDescent="0.35">
      <c r="A98" s="68">
        <f t="shared" si="3"/>
        <v>97</v>
      </c>
      <c r="B98" s="66">
        <v>75343</v>
      </c>
      <c r="C98" s="67" t="s">
        <v>148</v>
      </c>
      <c r="D98" s="68" t="s">
        <v>19</v>
      </c>
      <c r="E98" s="66">
        <v>693</v>
      </c>
      <c r="F98" s="66">
        <v>2022</v>
      </c>
      <c r="G98" s="66">
        <v>2023</v>
      </c>
      <c r="H98" s="68" t="s">
        <v>55</v>
      </c>
      <c r="I98" s="66" t="str">
        <f t="shared" ca="1" si="2"/>
        <v>Retired</v>
      </c>
    </row>
    <row r="99" spans="1:9" ht="14.25" customHeight="1" x14ac:dyDescent="0.35">
      <c r="A99" s="68">
        <f t="shared" si="3"/>
        <v>98</v>
      </c>
      <c r="B99" s="66">
        <v>75350</v>
      </c>
      <c r="C99" s="67" t="s">
        <v>149</v>
      </c>
      <c r="D99" s="68" t="s">
        <v>19</v>
      </c>
      <c r="E99" s="66">
        <v>766</v>
      </c>
      <c r="F99" s="66">
        <v>2023</v>
      </c>
      <c r="G99" s="66">
        <v>2024</v>
      </c>
      <c r="H99" s="68" t="s">
        <v>55</v>
      </c>
      <c r="I99" s="66" t="str">
        <f t="shared" ca="1" si="2"/>
        <v>Retired</v>
      </c>
    </row>
    <row r="100" spans="1:9" ht="14.25" customHeight="1" x14ac:dyDescent="0.35">
      <c r="A100" s="68">
        <f t="shared" si="3"/>
        <v>99</v>
      </c>
      <c r="B100" s="66">
        <v>75351</v>
      </c>
      <c r="C100" s="67" t="s">
        <v>150</v>
      </c>
      <c r="D100" s="68" t="s">
        <v>19</v>
      </c>
      <c r="E100" s="66">
        <v>670</v>
      </c>
      <c r="F100" s="66">
        <v>2023</v>
      </c>
      <c r="G100" s="66">
        <v>2024</v>
      </c>
      <c r="H100" s="68" t="s">
        <v>55</v>
      </c>
      <c r="I100" s="66" t="str">
        <f t="shared" ca="1" si="2"/>
        <v>Retired</v>
      </c>
    </row>
    <row r="101" spans="1:9" ht="14.25" customHeight="1" x14ac:dyDescent="0.35">
      <c r="A101" s="68">
        <f t="shared" si="3"/>
        <v>100</v>
      </c>
      <c r="B101" s="66">
        <v>75349</v>
      </c>
      <c r="C101" s="67" t="s">
        <v>151</v>
      </c>
      <c r="D101" s="68" t="s">
        <v>19</v>
      </c>
      <c r="E101" s="66">
        <v>854</v>
      </c>
      <c r="F101" s="66">
        <v>2023</v>
      </c>
      <c r="G101" s="66">
        <v>2026</v>
      </c>
      <c r="H101" s="68" t="s">
        <v>55</v>
      </c>
      <c r="I101" s="66" t="str">
        <f t="shared" ca="1" si="2"/>
        <v>Not Retired</v>
      </c>
    </row>
    <row r="102" spans="1:9" ht="14.25" customHeight="1" x14ac:dyDescent="0.35">
      <c r="A102" s="68">
        <f t="shared" si="3"/>
        <v>101</v>
      </c>
      <c r="B102" s="66">
        <v>76327</v>
      </c>
      <c r="C102" s="67" t="s">
        <v>152</v>
      </c>
      <c r="D102" s="68" t="s">
        <v>25</v>
      </c>
      <c r="E102" s="66">
        <v>436</v>
      </c>
      <c r="F102" s="66">
        <v>2025</v>
      </c>
      <c r="G102" s="66">
        <v>2026</v>
      </c>
      <c r="H102" s="68" t="s">
        <v>59</v>
      </c>
      <c r="I102" s="66" t="str">
        <f t="shared" ca="1" si="2"/>
        <v>Not Retired</v>
      </c>
    </row>
    <row r="103" spans="1:9" ht="14.25" customHeight="1" x14ac:dyDescent="0.35">
      <c r="A103" s="68">
        <f t="shared" si="3"/>
        <v>102</v>
      </c>
      <c r="B103" s="66">
        <v>71411</v>
      </c>
      <c r="C103" s="67" t="s">
        <v>153</v>
      </c>
      <c r="D103" s="68" t="s">
        <v>24</v>
      </c>
      <c r="E103" s="66">
        <v>2807</v>
      </c>
      <c r="F103" s="66">
        <v>2022</v>
      </c>
      <c r="G103" s="66">
        <v>2025</v>
      </c>
      <c r="H103" s="68" t="s">
        <v>55</v>
      </c>
      <c r="I103" s="66" t="str">
        <f t="shared" ca="1" si="2"/>
        <v>Retired</v>
      </c>
    </row>
    <row r="104" spans="1:9" ht="14.25" customHeight="1" x14ac:dyDescent="0.35">
      <c r="A104" s="68">
        <f t="shared" si="3"/>
        <v>103</v>
      </c>
      <c r="B104" s="66">
        <v>76282</v>
      </c>
      <c r="C104" s="67" t="s">
        <v>154</v>
      </c>
      <c r="D104" s="68" t="s">
        <v>25</v>
      </c>
      <c r="E104" s="66">
        <v>566</v>
      </c>
      <c r="F104" s="66">
        <v>2024</v>
      </c>
      <c r="G104" s="66">
        <v>2025</v>
      </c>
      <c r="H104" s="68" t="s">
        <v>55</v>
      </c>
      <c r="I104" s="66" t="str">
        <f t="shared" ca="1" si="2"/>
        <v>Retired</v>
      </c>
    </row>
    <row r="105" spans="1:9" ht="14.25" customHeight="1" x14ac:dyDescent="0.35">
      <c r="A105" s="68">
        <f t="shared" si="3"/>
        <v>104</v>
      </c>
      <c r="B105" s="66">
        <v>11373</v>
      </c>
      <c r="C105" s="67" t="s">
        <v>155</v>
      </c>
      <c r="D105" s="68" t="s">
        <v>21</v>
      </c>
      <c r="E105" s="66">
        <v>538</v>
      </c>
      <c r="F105" s="66">
        <v>2026</v>
      </c>
      <c r="G105" s="66" t="s">
        <v>54</v>
      </c>
      <c r="H105" s="68" t="s">
        <v>55</v>
      </c>
      <c r="I105" s="66" t="str">
        <f t="shared" ca="1" si="2"/>
        <v>Not Retired</v>
      </c>
    </row>
    <row r="106" spans="1:9" ht="14.25" customHeight="1" x14ac:dyDescent="0.35">
      <c r="A106" s="68">
        <f t="shared" si="3"/>
        <v>105</v>
      </c>
      <c r="B106" s="66">
        <v>75274</v>
      </c>
      <c r="C106" s="67" t="s">
        <v>156</v>
      </c>
      <c r="D106" s="68" t="s">
        <v>19</v>
      </c>
      <c r="E106" s="66">
        <v>724</v>
      </c>
      <c r="F106" s="66">
        <v>2020</v>
      </c>
      <c r="G106" s="66">
        <v>2021</v>
      </c>
      <c r="H106" s="68" t="s">
        <v>55</v>
      </c>
      <c r="I106" s="66" t="str">
        <f t="shared" ca="1" si="2"/>
        <v>Retired</v>
      </c>
    </row>
    <row r="107" spans="1:9" ht="28.5" customHeight="1" x14ac:dyDescent="0.35">
      <c r="A107" s="68">
        <f t="shared" si="3"/>
        <v>106</v>
      </c>
      <c r="B107" s="66">
        <v>76239</v>
      </c>
      <c r="C107" s="67" t="s">
        <v>157</v>
      </c>
      <c r="D107" s="68" t="s">
        <v>36</v>
      </c>
      <c r="E107" s="66">
        <v>422</v>
      </c>
      <c r="F107" s="66">
        <v>2021</v>
      </c>
      <c r="G107" s="66">
        <v>2022</v>
      </c>
      <c r="H107" s="68" t="s">
        <v>55</v>
      </c>
      <c r="I107" s="66" t="str">
        <f t="shared" ca="1" si="2"/>
        <v>Retired</v>
      </c>
    </row>
    <row r="108" spans="1:9" ht="14.25" customHeight="1" x14ac:dyDescent="0.35">
      <c r="A108" s="68">
        <f t="shared" si="3"/>
        <v>107</v>
      </c>
      <c r="B108" s="66">
        <v>40795</v>
      </c>
      <c r="C108" s="67" t="s">
        <v>162</v>
      </c>
      <c r="D108" s="68" t="s">
        <v>19</v>
      </c>
      <c r="E108" s="66">
        <v>138</v>
      </c>
      <c r="F108" s="66">
        <v>2025</v>
      </c>
      <c r="G108" s="66" t="s">
        <v>54</v>
      </c>
      <c r="H108" s="68" t="s">
        <v>55</v>
      </c>
      <c r="I108" s="66" t="str">
        <f t="shared" ca="1" si="2"/>
        <v>Not Retired</v>
      </c>
    </row>
    <row r="109" spans="1:9" ht="14.25" customHeight="1" x14ac:dyDescent="0.35">
      <c r="A109" s="68">
        <f t="shared" si="3"/>
        <v>108</v>
      </c>
      <c r="B109" s="66">
        <v>40861</v>
      </c>
      <c r="C109" s="67" t="s">
        <v>163</v>
      </c>
      <c r="D109" s="68" t="s">
        <v>29</v>
      </c>
      <c r="E109" s="66">
        <v>303</v>
      </c>
      <c r="F109" s="66">
        <v>2026</v>
      </c>
      <c r="G109" s="66" t="s">
        <v>54</v>
      </c>
      <c r="H109" s="68" t="s">
        <v>55</v>
      </c>
      <c r="I109" s="66" t="str">
        <f t="shared" ca="1" si="2"/>
        <v>Not Retired</v>
      </c>
    </row>
    <row r="110" spans="1:9" ht="14.25" customHeight="1" x14ac:dyDescent="0.35">
      <c r="A110" s="68">
        <f t="shared" si="3"/>
        <v>109</v>
      </c>
      <c r="B110" s="66">
        <v>21062</v>
      </c>
      <c r="C110" s="67" t="s">
        <v>164</v>
      </c>
      <c r="D110" s="68" t="s">
        <v>20</v>
      </c>
      <c r="E110" s="66">
        <v>1880</v>
      </c>
      <c r="F110" s="66">
        <v>2025</v>
      </c>
      <c r="G110" s="66" t="s">
        <v>54</v>
      </c>
      <c r="H110" s="68" t="s">
        <v>55</v>
      </c>
      <c r="I110" s="66" t="str">
        <f t="shared" ca="1" si="2"/>
        <v>Not Retired</v>
      </c>
    </row>
    <row r="111" spans="1:9" ht="14.25" customHeight="1" x14ac:dyDescent="0.35">
      <c r="A111" s="68">
        <f t="shared" si="3"/>
        <v>110</v>
      </c>
      <c r="B111" s="66">
        <v>21058</v>
      </c>
      <c r="C111" s="67" t="s">
        <v>165</v>
      </c>
      <c r="D111" s="68" t="s">
        <v>20</v>
      </c>
      <c r="E111" s="66">
        <v>1476</v>
      </c>
      <c r="F111" s="66">
        <v>2022</v>
      </c>
      <c r="G111" s="66">
        <v>2026</v>
      </c>
      <c r="H111" s="68" t="s">
        <v>55</v>
      </c>
      <c r="I111" s="66" t="str">
        <f t="shared" ca="1" si="2"/>
        <v>Not Retired</v>
      </c>
    </row>
    <row r="112" spans="1:9" ht="14.25" customHeight="1" x14ac:dyDescent="0.35">
      <c r="A112" s="68">
        <f t="shared" si="3"/>
        <v>111</v>
      </c>
      <c r="B112" s="66">
        <v>40953</v>
      </c>
      <c r="C112" s="67" t="s">
        <v>166</v>
      </c>
      <c r="D112" s="68" t="s">
        <v>29</v>
      </c>
      <c r="E112" s="66">
        <v>245</v>
      </c>
      <c r="F112" s="66">
        <v>2026</v>
      </c>
      <c r="G112" s="66" t="s">
        <v>54</v>
      </c>
      <c r="H112" s="68" t="s">
        <v>59</v>
      </c>
      <c r="I112" s="66" t="str">
        <f t="shared" ca="1" si="2"/>
        <v>Not Retired</v>
      </c>
    </row>
    <row r="113" spans="1:9" ht="14.25" customHeight="1" x14ac:dyDescent="0.35">
      <c r="A113" s="68">
        <f t="shared" si="3"/>
        <v>112</v>
      </c>
      <c r="B113" s="66">
        <v>75394</v>
      </c>
      <c r="C113" s="67" t="s">
        <v>170</v>
      </c>
      <c r="D113" s="68" t="s">
        <v>19</v>
      </c>
      <c r="E113" s="66">
        <v>1555</v>
      </c>
      <c r="F113" s="66">
        <v>2024</v>
      </c>
      <c r="G113" s="66" t="s">
        <v>54</v>
      </c>
      <c r="H113" s="68" t="s">
        <v>55</v>
      </c>
      <c r="I113" s="66" t="str">
        <f t="shared" ca="1" si="2"/>
        <v>Not Retired</v>
      </c>
    </row>
    <row r="114" spans="1:9" ht="14.25" customHeight="1" x14ac:dyDescent="0.35">
      <c r="A114" s="68">
        <f t="shared" si="3"/>
        <v>113</v>
      </c>
      <c r="B114" s="66">
        <v>71374</v>
      </c>
      <c r="C114" s="67" t="s">
        <v>171</v>
      </c>
      <c r="D114" s="68" t="s">
        <v>24</v>
      </c>
      <c r="E114" s="66">
        <v>2646</v>
      </c>
      <c r="F114" s="66">
        <v>2020</v>
      </c>
      <c r="G114" s="66">
        <v>2024</v>
      </c>
      <c r="H114" s="68" t="s">
        <v>55</v>
      </c>
      <c r="I114" s="66" t="str">
        <f t="shared" ca="1" si="2"/>
        <v>Retired</v>
      </c>
    </row>
    <row r="115" spans="1:9" ht="14.25" customHeight="1" x14ac:dyDescent="0.35">
      <c r="A115" s="68">
        <f t="shared" si="3"/>
        <v>114</v>
      </c>
      <c r="B115" s="66">
        <v>40787</v>
      </c>
      <c r="C115" s="67" t="s">
        <v>172</v>
      </c>
      <c r="D115" s="68" t="s">
        <v>24</v>
      </c>
      <c r="E115" s="66">
        <v>234</v>
      </c>
      <c r="F115" s="66">
        <v>2025</v>
      </c>
      <c r="G115" s="66">
        <v>2025</v>
      </c>
      <c r="H115" s="68" t="s">
        <v>59</v>
      </c>
      <c r="I115" s="66" t="str">
        <f t="shared" ca="1" si="2"/>
        <v>Retired</v>
      </c>
    </row>
    <row r="116" spans="1:9" ht="14.25" customHeight="1" x14ac:dyDescent="0.35">
      <c r="A116" s="68">
        <f t="shared" si="3"/>
        <v>115</v>
      </c>
      <c r="B116" s="66">
        <v>76925</v>
      </c>
      <c r="C116" s="67" t="s">
        <v>176</v>
      </c>
      <c r="D116" s="68" t="s">
        <v>23</v>
      </c>
      <c r="E116" s="66">
        <v>564</v>
      </c>
      <c r="F116" s="66">
        <v>2024</v>
      </c>
      <c r="G116" s="66">
        <v>2025</v>
      </c>
      <c r="H116" s="68" t="s">
        <v>55</v>
      </c>
      <c r="I116" s="66" t="str">
        <f t="shared" ca="1" si="2"/>
        <v>Retired</v>
      </c>
    </row>
    <row r="117" spans="1:9" ht="14.25" customHeight="1" x14ac:dyDescent="0.35">
      <c r="A117" s="68">
        <f t="shared" si="3"/>
        <v>116</v>
      </c>
      <c r="B117" s="66">
        <v>10306</v>
      </c>
      <c r="C117" s="67" t="s">
        <v>177</v>
      </c>
      <c r="D117" s="68" t="s">
        <v>21</v>
      </c>
      <c r="E117" s="66">
        <v>2532</v>
      </c>
      <c r="F117" s="66">
        <v>2022</v>
      </c>
      <c r="G117" s="66">
        <v>2024</v>
      </c>
      <c r="H117" s="68" t="s">
        <v>55</v>
      </c>
      <c r="I117" s="66" t="str">
        <f t="shared" ca="1" si="2"/>
        <v>Retired</v>
      </c>
    </row>
    <row r="118" spans="1:9" ht="14.25" customHeight="1" x14ac:dyDescent="0.35">
      <c r="A118" s="68">
        <f t="shared" si="3"/>
        <v>117</v>
      </c>
      <c r="B118" s="66">
        <v>75392</v>
      </c>
      <c r="C118" s="67" t="s">
        <v>178</v>
      </c>
      <c r="D118" s="68" t="s">
        <v>19</v>
      </c>
      <c r="E118" s="66">
        <v>1186</v>
      </c>
      <c r="F118" s="66">
        <v>2024</v>
      </c>
      <c r="G118" s="66">
        <v>2025</v>
      </c>
      <c r="H118" s="68" t="s">
        <v>55</v>
      </c>
      <c r="I118" s="66" t="str">
        <f t="shared" ca="1" si="2"/>
        <v>Retired</v>
      </c>
    </row>
    <row r="119" spans="1:9" ht="14.25" customHeight="1" x14ac:dyDescent="0.35">
      <c r="A119" s="68">
        <f t="shared" si="3"/>
        <v>118</v>
      </c>
      <c r="B119" s="66">
        <v>75428</v>
      </c>
      <c r="C119" s="67" t="s">
        <v>179</v>
      </c>
      <c r="D119" s="68" t="s">
        <v>19</v>
      </c>
      <c r="E119" s="66">
        <v>1088</v>
      </c>
      <c r="F119" s="66">
        <v>2025</v>
      </c>
      <c r="G119" s="66" t="s">
        <v>54</v>
      </c>
      <c r="H119" s="68" t="s">
        <v>55</v>
      </c>
      <c r="I119" s="66" t="str">
        <f t="shared" ca="1" si="2"/>
        <v>Not Retired</v>
      </c>
    </row>
    <row r="120" spans="1:9" ht="14.25" customHeight="1" x14ac:dyDescent="0.35">
      <c r="A120" s="68">
        <f t="shared" si="3"/>
        <v>119</v>
      </c>
      <c r="B120" s="66">
        <v>75438</v>
      </c>
      <c r="C120" s="67" t="s">
        <v>180</v>
      </c>
      <c r="D120" s="68" t="s">
        <v>19</v>
      </c>
      <c r="E120" s="66">
        <v>399</v>
      </c>
      <c r="F120" s="66">
        <v>2026</v>
      </c>
      <c r="G120" s="66" t="s">
        <v>54</v>
      </c>
      <c r="H120" s="68" t="s">
        <v>55</v>
      </c>
      <c r="I120" s="66" t="str">
        <f t="shared" ca="1" si="2"/>
        <v>Not Retired</v>
      </c>
    </row>
    <row r="121" spans="1:9" ht="14.25" customHeight="1" x14ac:dyDescent="0.35">
      <c r="A121" s="68">
        <f t="shared" si="3"/>
        <v>120</v>
      </c>
      <c r="B121" s="66">
        <v>75439</v>
      </c>
      <c r="C121" s="67" t="s">
        <v>181</v>
      </c>
      <c r="D121" s="68" t="s">
        <v>19</v>
      </c>
      <c r="E121" s="66">
        <v>349</v>
      </c>
      <c r="F121" s="66">
        <v>2026</v>
      </c>
      <c r="G121" s="66" t="s">
        <v>54</v>
      </c>
      <c r="H121" s="68" t="s">
        <v>59</v>
      </c>
      <c r="I121" s="66" t="str">
        <f t="shared" ca="1" si="2"/>
        <v>Not Retired</v>
      </c>
    </row>
    <row r="122" spans="1:9" ht="14.25" customHeight="1" x14ac:dyDescent="0.35">
      <c r="A122" s="68">
        <f t="shared" si="3"/>
        <v>121</v>
      </c>
      <c r="B122" s="66">
        <v>75301</v>
      </c>
      <c r="C122" s="67" t="s">
        <v>182</v>
      </c>
      <c r="D122" s="68" t="s">
        <v>19</v>
      </c>
      <c r="E122" s="66">
        <v>474</v>
      </c>
      <c r="F122" s="66">
        <v>2021</v>
      </c>
      <c r="G122" s="66">
        <v>2023</v>
      </c>
      <c r="H122" s="68" t="s">
        <v>55</v>
      </c>
      <c r="I122" s="66" t="str">
        <f t="shared" ca="1" si="2"/>
        <v>Retired</v>
      </c>
    </row>
    <row r="123" spans="1:9" ht="14.25" customHeight="1" x14ac:dyDescent="0.35">
      <c r="A123" s="68">
        <f t="shared" si="3"/>
        <v>122</v>
      </c>
      <c r="B123" s="66">
        <v>75227</v>
      </c>
      <c r="C123" s="67" t="s">
        <v>183</v>
      </c>
      <c r="D123" s="68" t="s">
        <v>19</v>
      </c>
      <c r="E123" s="66">
        <v>327</v>
      </c>
      <c r="F123" s="66">
        <v>2019</v>
      </c>
      <c r="G123" s="66">
        <v>2017</v>
      </c>
      <c r="H123" s="68" t="s">
        <v>55</v>
      </c>
      <c r="I123" s="66" t="str">
        <f t="shared" ca="1" si="2"/>
        <v>Retired</v>
      </c>
    </row>
    <row r="124" spans="1:9" ht="14.25" customHeight="1" x14ac:dyDescent="0.35">
      <c r="A124" s="68">
        <f t="shared" si="3"/>
        <v>123</v>
      </c>
      <c r="B124" s="66">
        <v>43022</v>
      </c>
      <c r="C124" s="67" t="s">
        <v>184</v>
      </c>
      <c r="D124" s="68" t="s">
        <v>28</v>
      </c>
      <c r="E124" s="66">
        <v>884</v>
      </c>
      <c r="F124" s="66">
        <v>2026</v>
      </c>
      <c r="G124" s="66" t="s">
        <v>54</v>
      </c>
      <c r="H124" s="68" t="s">
        <v>59</v>
      </c>
      <c r="I124" s="66" t="str">
        <f t="shared" ca="1" si="2"/>
        <v>Not Retired</v>
      </c>
    </row>
    <row r="125" spans="1:9" ht="14.25" customHeight="1" x14ac:dyDescent="0.35">
      <c r="A125" s="68">
        <f t="shared" si="3"/>
        <v>124</v>
      </c>
      <c r="B125" s="66">
        <v>43014</v>
      </c>
      <c r="C125" s="67" t="s">
        <v>185</v>
      </c>
      <c r="D125" s="68" t="s">
        <v>28</v>
      </c>
      <c r="E125" s="66">
        <v>886</v>
      </c>
      <c r="F125" s="66">
        <v>2026</v>
      </c>
      <c r="G125" s="66" t="s">
        <v>54</v>
      </c>
      <c r="H125" s="68" t="s">
        <v>55</v>
      </c>
      <c r="I125" s="66" t="str">
        <f t="shared" ca="1" si="2"/>
        <v>Not Retired</v>
      </c>
    </row>
    <row r="126" spans="1:9" ht="14.25" customHeight="1" x14ac:dyDescent="0.35">
      <c r="A126" s="68">
        <f t="shared" si="3"/>
        <v>125</v>
      </c>
      <c r="B126" s="66">
        <v>75442</v>
      </c>
      <c r="C126" s="67" t="s">
        <v>186</v>
      </c>
      <c r="D126" s="68" t="s">
        <v>19</v>
      </c>
      <c r="E126" s="66">
        <v>1809</v>
      </c>
      <c r="F126" s="66">
        <v>2026</v>
      </c>
      <c r="G126" s="66" t="s">
        <v>54</v>
      </c>
      <c r="H126" s="68" t="s">
        <v>55</v>
      </c>
      <c r="I126" s="66" t="str">
        <f t="shared" ca="1" si="2"/>
        <v>Not Retired</v>
      </c>
    </row>
    <row r="127" spans="1:9" ht="14.25" customHeight="1" x14ac:dyDescent="0.35">
      <c r="A127" s="68">
        <f t="shared" si="3"/>
        <v>126</v>
      </c>
      <c r="B127" s="66">
        <v>75379</v>
      </c>
      <c r="C127" s="67" t="s">
        <v>187</v>
      </c>
      <c r="D127" s="68" t="s">
        <v>19</v>
      </c>
      <c r="E127" s="66">
        <v>1050</v>
      </c>
      <c r="F127" s="66">
        <v>2024</v>
      </c>
      <c r="G127" s="66" t="s">
        <v>54</v>
      </c>
      <c r="H127" s="68" t="s">
        <v>55</v>
      </c>
      <c r="I127" s="66" t="str">
        <f t="shared" ca="1" si="2"/>
        <v>Not Retired</v>
      </c>
    </row>
    <row r="128" spans="1:9" ht="14.25" customHeight="1" x14ac:dyDescent="0.35">
      <c r="A128" s="68">
        <f t="shared" si="3"/>
        <v>127</v>
      </c>
      <c r="B128" s="66">
        <v>21047</v>
      </c>
      <c r="C128" s="67" t="s">
        <v>189</v>
      </c>
      <c r="D128" s="68" t="s">
        <v>20</v>
      </c>
      <c r="E128" s="66">
        <v>487</v>
      </c>
      <c r="F128" s="66">
        <v>2018</v>
      </c>
      <c r="G128" s="66">
        <v>2020</v>
      </c>
      <c r="H128" s="68" t="s">
        <v>55</v>
      </c>
      <c r="I128" s="66" t="str">
        <f t="shared" ca="1" si="2"/>
        <v>Retired</v>
      </c>
    </row>
    <row r="129" spans="1:9" ht="14.25" customHeight="1" x14ac:dyDescent="0.35">
      <c r="A129" s="68">
        <f t="shared" si="3"/>
        <v>128</v>
      </c>
      <c r="B129" s="66">
        <v>75446</v>
      </c>
      <c r="C129" s="67" t="s">
        <v>190</v>
      </c>
      <c r="D129" s="68" t="s">
        <v>19</v>
      </c>
      <c r="E129" s="66">
        <v>1200</v>
      </c>
      <c r="F129" s="66">
        <v>2026</v>
      </c>
      <c r="G129" s="66" t="s">
        <v>54</v>
      </c>
      <c r="H129" s="68" t="s">
        <v>55</v>
      </c>
      <c r="I129" s="66" t="str">
        <f t="shared" ca="1" si="2"/>
        <v>Not Retired</v>
      </c>
    </row>
    <row r="130" spans="1:9" ht="14.25" customHeight="1" x14ac:dyDescent="0.35">
      <c r="A130" s="68">
        <f t="shared" si="3"/>
        <v>129</v>
      </c>
      <c r="B130" s="66">
        <v>21052</v>
      </c>
      <c r="C130" s="67" t="s">
        <v>191</v>
      </c>
      <c r="D130" s="68" t="s">
        <v>20</v>
      </c>
      <c r="E130" s="66">
        <v>740</v>
      </c>
      <c r="F130" s="66">
        <v>2020</v>
      </c>
      <c r="G130" s="66">
        <v>2021</v>
      </c>
      <c r="H130" s="68" t="s">
        <v>55</v>
      </c>
      <c r="I130" s="66" t="str">
        <f t="shared" ref="I130:I193" ca="1" si="4">IF(B130="","",IF(G130="-","Not Retired",IF(G130&lt;YEAR(NOW()),"Retired","Not Retired")))</f>
        <v>Retired</v>
      </c>
    </row>
    <row r="131" spans="1:9" ht="14.25" customHeight="1" x14ac:dyDescent="0.35">
      <c r="A131" s="68">
        <f t="shared" ref="A131:A194" si="5">+A130+1</f>
        <v>130</v>
      </c>
      <c r="B131" s="66">
        <v>75369</v>
      </c>
      <c r="C131" s="67" t="s">
        <v>192</v>
      </c>
      <c r="D131" s="68" t="s">
        <v>19</v>
      </c>
      <c r="E131" s="66">
        <v>155</v>
      </c>
      <c r="F131" s="66">
        <v>2023</v>
      </c>
      <c r="G131" s="66">
        <v>2024</v>
      </c>
      <c r="H131" s="68" t="s">
        <v>55</v>
      </c>
      <c r="I131" s="66" t="str">
        <f t="shared" ca="1" si="4"/>
        <v>Retired</v>
      </c>
    </row>
    <row r="132" spans="1:9" ht="14.25" customHeight="1" x14ac:dyDescent="0.35">
      <c r="A132" s="68">
        <f t="shared" si="5"/>
        <v>131</v>
      </c>
      <c r="B132" s="66">
        <v>75368</v>
      </c>
      <c r="C132" s="67" t="s">
        <v>193</v>
      </c>
      <c r="D132" s="68" t="s">
        <v>19</v>
      </c>
      <c r="E132" s="66">
        <v>139</v>
      </c>
      <c r="F132" s="66">
        <v>2023</v>
      </c>
      <c r="G132" s="66">
        <v>2024</v>
      </c>
      <c r="H132" s="68" t="s">
        <v>55</v>
      </c>
      <c r="I132" s="66" t="str">
        <f t="shared" ca="1" si="4"/>
        <v>Retired</v>
      </c>
    </row>
    <row r="133" spans="1:9" ht="14.25" customHeight="1" x14ac:dyDescent="0.35">
      <c r="A133" s="68">
        <f t="shared" si="5"/>
        <v>132</v>
      </c>
      <c r="B133" s="66">
        <v>75370</v>
      </c>
      <c r="C133" s="67" t="s">
        <v>194</v>
      </c>
      <c r="D133" s="68" t="s">
        <v>19</v>
      </c>
      <c r="E133" s="66">
        <v>138</v>
      </c>
      <c r="F133" s="66">
        <v>2023</v>
      </c>
      <c r="G133" s="66">
        <v>2024</v>
      </c>
      <c r="H133" s="68" t="s">
        <v>55</v>
      </c>
      <c r="I133" s="66" t="str">
        <f t="shared" ca="1" si="4"/>
        <v>Retired</v>
      </c>
    </row>
    <row r="134" spans="1:9" ht="14.25" customHeight="1" x14ac:dyDescent="0.35">
      <c r="A134" s="68">
        <f t="shared" si="5"/>
        <v>133</v>
      </c>
      <c r="B134" s="66">
        <v>75355</v>
      </c>
      <c r="C134" s="67" t="s">
        <v>195</v>
      </c>
      <c r="D134" s="68" t="s">
        <v>19</v>
      </c>
      <c r="E134" s="66">
        <v>1949</v>
      </c>
      <c r="F134" s="66">
        <v>2023</v>
      </c>
      <c r="G134" s="66">
        <v>2025</v>
      </c>
      <c r="H134" s="68" t="s">
        <v>55</v>
      </c>
      <c r="I134" s="66" t="str">
        <f t="shared" ca="1" si="4"/>
        <v>Retired</v>
      </c>
    </row>
    <row r="135" spans="1:9" ht="14.25" customHeight="1" x14ac:dyDescent="0.35">
      <c r="A135" s="68">
        <f t="shared" si="5"/>
        <v>134</v>
      </c>
      <c r="B135" s="66">
        <v>77259</v>
      </c>
      <c r="C135" s="67" t="s">
        <v>196</v>
      </c>
      <c r="D135" s="68" t="s">
        <v>23</v>
      </c>
      <c r="E135" s="66">
        <v>215</v>
      </c>
      <c r="F135" s="66">
        <v>2026</v>
      </c>
      <c r="G135" s="66" t="s">
        <v>54</v>
      </c>
      <c r="H135" s="68" t="s">
        <v>55</v>
      </c>
      <c r="I135" s="66" t="str">
        <f t="shared" ca="1" si="4"/>
        <v>Not Retired</v>
      </c>
    </row>
    <row r="136" spans="1:9" ht="14.25" customHeight="1" x14ac:dyDescent="0.35">
      <c r="A136" s="68">
        <f t="shared" si="5"/>
        <v>135</v>
      </c>
      <c r="B136" s="66">
        <v>76210</v>
      </c>
      <c r="C136" s="67" t="s">
        <v>197</v>
      </c>
      <c r="D136" s="68" t="s">
        <v>25</v>
      </c>
      <c r="E136" s="66">
        <v>4049</v>
      </c>
      <c r="F136" s="66">
        <v>2022</v>
      </c>
      <c r="G136" s="66">
        <v>2024</v>
      </c>
      <c r="H136" s="68" t="s">
        <v>55</v>
      </c>
      <c r="I136" s="66" t="str">
        <f t="shared" ca="1" si="4"/>
        <v>Retired</v>
      </c>
    </row>
    <row r="137" spans="1:9" ht="14.25" customHeight="1" x14ac:dyDescent="0.35">
      <c r="A137" s="68">
        <f t="shared" si="5"/>
        <v>136</v>
      </c>
      <c r="B137" s="66">
        <v>43023</v>
      </c>
      <c r="C137" s="67" t="s">
        <v>198</v>
      </c>
      <c r="D137" s="68" t="s">
        <v>28</v>
      </c>
      <c r="E137" s="66">
        <v>793</v>
      </c>
      <c r="F137" s="66">
        <v>2026</v>
      </c>
      <c r="G137" s="66" t="s">
        <v>54</v>
      </c>
      <c r="H137" s="68" t="s">
        <v>55</v>
      </c>
      <c r="I137" s="66" t="str">
        <f t="shared" ca="1" si="4"/>
        <v>Not Retired</v>
      </c>
    </row>
    <row r="138" spans="1:9" ht="14.25" customHeight="1" x14ac:dyDescent="0.35">
      <c r="A138" s="68">
        <f t="shared" si="5"/>
        <v>137</v>
      </c>
      <c r="B138" s="66">
        <v>43017</v>
      </c>
      <c r="C138" s="67" t="s">
        <v>199</v>
      </c>
      <c r="D138" s="68" t="s">
        <v>28</v>
      </c>
      <c r="E138" s="66">
        <v>793</v>
      </c>
      <c r="F138" s="66">
        <v>2026</v>
      </c>
      <c r="G138" s="66" t="s">
        <v>54</v>
      </c>
      <c r="H138" s="68" t="s">
        <v>55</v>
      </c>
      <c r="I138" s="66" t="str">
        <f t="shared" ca="1" si="4"/>
        <v>Not Retired</v>
      </c>
    </row>
    <row r="139" spans="1:9" ht="14.25" customHeight="1" x14ac:dyDescent="0.35">
      <c r="A139" s="68">
        <f t="shared" si="5"/>
        <v>138</v>
      </c>
      <c r="B139" s="66">
        <v>43099</v>
      </c>
      <c r="C139" s="67" t="s">
        <v>202</v>
      </c>
      <c r="D139" s="68" t="s">
        <v>28</v>
      </c>
      <c r="E139" s="66">
        <v>1500</v>
      </c>
      <c r="F139" s="66">
        <v>2026</v>
      </c>
      <c r="G139" s="66" t="s">
        <v>54</v>
      </c>
      <c r="H139" s="68" t="s">
        <v>55</v>
      </c>
      <c r="I139" s="66" t="str">
        <f t="shared" ca="1" si="4"/>
        <v>Not Retired</v>
      </c>
    </row>
    <row r="140" spans="1:9" ht="14.25" customHeight="1" x14ac:dyDescent="0.35">
      <c r="A140" s="68">
        <f t="shared" si="5"/>
        <v>139</v>
      </c>
      <c r="B140" s="66"/>
      <c r="C140" s="67"/>
      <c r="D140" s="68"/>
      <c r="E140" s="66"/>
      <c r="F140" s="66"/>
      <c r="G140" s="66"/>
      <c r="H140" s="68"/>
      <c r="I140" s="66" t="str">
        <f t="shared" ca="1" si="4"/>
        <v/>
      </c>
    </row>
    <row r="141" spans="1:9" ht="14.25" customHeight="1" x14ac:dyDescent="0.35">
      <c r="A141" s="68">
        <f t="shared" si="5"/>
        <v>140</v>
      </c>
      <c r="B141" s="66"/>
      <c r="C141" s="67"/>
      <c r="D141" s="68"/>
      <c r="E141" s="66"/>
      <c r="F141" s="66"/>
      <c r="G141" s="66"/>
      <c r="H141" s="68"/>
      <c r="I141" s="66" t="str">
        <f t="shared" ca="1" si="4"/>
        <v/>
      </c>
    </row>
    <row r="142" spans="1:9" ht="14.25" customHeight="1" x14ac:dyDescent="0.35">
      <c r="A142" s="68">
        <f t="shared" si="5"/>
        <v>141</v>
      </c>
      <c r="B142" s="66"/>
      <c r="C142" s="67"/>
      <c r="D142" s="68"/>
      <c r="E142" s="66"/>
      <c r="F142" s="66"/>
      <c r="G142" s="66"/>
      <c r="H142" s="68"/>
      <c r="I142" s="66" t="str">
        <f t="shared" ca="1" si="4"/>
        <v/>
      </c>
    </row>
    <row r="143" spans="1:9" ht="14.25" customHeight="1" x14ac:dyDescent="0.35">
      <c r="A143" s="68">
        <f t="shared" si="5"/>
        <v>142</v>
      </c>
      <c r="B143" s="66"/>
      <c r="C143" s="67"/>
      <c r="D143" s="68"/>
      <c r="E143" s="66"/>
      <c r="F143" s="66"/>
      <c r="G143" s="66"/>
      <c r="H143" s="68"/>
      <c r="I143" s="66" t="str">
        <f t="shared" ca="1" si="4"/>
        <v/>
      </c>
    </row>
    <row r="144" spans="1:9" ht="14.25" customHeight="1" x14ac:dyDescent="0.35">
      <c r="A144" s="68">
        <f t="shared" si="5"/>
        <v>143</v>
      </c>
      <c r="B144" s="66"/>
      <c r="C144" s="67"/>
      <c r="D144" s="68"/>
      <c r="E144" s="66"/>
      <c r="F144" s="66"/>
      <c r="G144" s="66"/>
      <c r="H144" s="68"/>
      <c r="I144" s="66" t="str">
        <f t="shared" ca="1" si="4"/>
        <v/>
      </c>
    </row>
    <row r="145" spans="1:9" ht="14.25" customHeight="1" x14ac:dyDescent="0.35">
      <c r="A145" s="68">
        <f t="shared" si="5"/>
        <v>144</v>
      </c>
      <c r="B145" s="66"/>
      <c r="C145" s="67"/>
      <c r="D145" s="68"/>
      <c r="E145" s="66"/>
      <c r="F145" s="66"/>
      <c r="G145" s="66"/>
      <c r="H145" s="68"/>
      <c r="I145" s="66" t="str">
        <f t="shared" ca="1" si="4"/>
        <v/>
      </c>
    </row>
    <row r="146" spans="1:9" ht="14.25" customHeight="1" x14ac:dyDescent="0.35">
      <c r="A146" s="68">
        <f t="shared" si="5"/>
        <v>145</v>
      </c>
      <c r="B146" s="66"/>
      <c r="C146" s="67"/>
      <c r="D146" s="68"/>
      <c r="E146" s="66"/>
      <c r="F146" s="66"/>
      <c r="G146" s="66"/>
      <c r="H146" s="68"/>
      <c r="I146" s="66" t="str">
        <f t="shared" ca="1" si="4"/>
        <v/>
      </c>
    </row>
    <row r="147" spans="1:9" ht="14.25" customHeight="1" x14ac:dyDescent="0.35">
      <c r="A147" s="68">
        <f t="shared" si="5"/>
        <v>146</v>
      </c>
      <c r="B147" s="66"/>
      <c r="C147" s="67"/>
      <c r="D147" s="68"/>
      <c r="E147" s="66"/>
      <c r="F147" s="66"/>
      <c r="G147" s="66"/>
      <c r="H147" s="68"/>
      <c r="I147" s="66" t="str">
        <f t="shared" ca="1" si="4"/>
        <v/>
      </c>
    </row>
    <row r="148" spans="1:9" ht="14.25" customHeight="1" x14ac:dyDescent="0.35">
      <c r="A148" s="68">
        <f t="shared" si="5"/>
        <v>147</v>
      </c>
      <c r="B148" s="66"/>
      <c r="C148" s="67"/>
      <c r="D148" s="68"/>
      <c r="E148" s="66"/>
      <c r="F148" s="66"/>
      <c r="G148" s="66"/>
      <c r="H148" s="68"/>
      <c r="I148" s="66" t="str">
        <f t="shared" ca="1" si="4"/>
        <v/>
      </c>
    </row>
    <row r="149" spans="1:9" ht="14.25" customHeight="1" x14ac:dyDescent="0.35">
      <c r="A149" s="68">
        <f t="shared" si="5"/>
        <v>148</v>
      </c>
      <c r="B149" s="66"/>
      <c r="C149" s="67"/>
      <c r="D149" s="68"/>
      <c r="E149" s="66"/>
      <c r="F149" s="66"/>
      <c r="G149" s="66"/>
      <c r="H149" s="68"/>
      <c r="I149" s="66" t="str">
        <f t="shared" ca="1" si="4"/>
        <v/>
      </c>
    </row>
    <row r="150" spans="1:9" ht="14.25" customHeight="1" x14ac:dyDescent="0.35">
      <c r="A150" s="68">
        <f t="shared" si="5"/>
        <v>149</v>
      </c>
      <c r="B150" s="66"/>
      <c r="C150" s="67"/>
      <c r="D150" s="68"/>
      <c r="E150" s="66"/>
      <c r="F150" s="66"/>
      <c r="G150" s="66"/>
      <c r="H150" s="68"/>
      <c r="I150" s="66" t="str">
        <f t="shared" ca="1" si="4"/>
        <v/>
      </c>
    </row>
    <row r="151" spans="1:9" ht="14.25" customHeight="1" x14ac:dyDescent="0.35">
      <c r="A151" s="68">
        <f t="shared" si="5"/>
        <v>150</v>
      </c>
      <c r="B151" s="66"/>
      <c r="C151" s="67"/>
      <c r="D151" s="68"/>
      <c r="E151" s="66"/>
      <c r="F151" s="66"/>
      <c r="G151" s="66"/>
      <c r="H151" s="68"/>
      <c r="I151" s="66" t="str">
        <f t="shared" ca="1" si="4"/>
        <v/>
      </c>
    </row>
    <row r="152" spans="1:9" ht="14.25" customHeight="1" x14ac:dyDescent="0.35">
      <c r="A152" s="68">
        <f t="shared" si="5"/>
        <v>151</v>
      </c>
      <c r="B152" s="66"/>
      <c r="C152" s="67"/>
      <c r="D152" s="68"/>
      <c r="E152" s="66"/>
      <c r="F152" s="66"/>
      <c r="G152" s="66"/>
      <c r="H152" s="68"/>
      <c r="I152" s="66" t="str">
        <f t="shared" ca="1" si="4"/>
        <v/>
      </c>
    </row>
    <row r="153" spans="1:9" ht="14.25" customHeight="1" x14ac:dyDescent="0.35">
      <c r="A153" s="68">
        <f t="shared" si="5"/>
        <v>152</v>
      </c>
      <c r="B153" s="66"/>
      <c r="C153" s="67"/>
      <c r="D153" s="68"/>
      <c r="E153" s="66"/>
      <c r="F153" s="66"/>
      <c r="G153" s="66"/>
      <c r="H153" s="68"/>
      <c r="I153" s="66" t="str">
        <f t="shared" ca="1" si="4"/>
        <v/>
      </c>
    </row>
    <row r="154" spans="1:9" ht="14.25" customHeight="1" x14ac:dyDescent="0.35">
      <c r="A154" s="68">
        <f t="shared" si="5"/>
        <v>153</v>
      </c>
      <c r="B154" s="66"/>
      <c r="C154" s="67"/>
      <c r="D154" s="68"/>
      <c r="E154" s="66"/>
      <c r="F154" s="66"/>
      <c r="G154" s="66"/>
      <c r="H154" s="68"/>
      <c r="I154" s="66" t="str">
        <f t="shared" ca="1" si="4"/>
        <v/>
      </c>
    </row>
    <row r="155" spans="1:9" ht="14.25" customHeight="1" x14ac:dyDescent="0.35">
      <c r="A155" s="68">
        <f t="shared" si="5"/>
        <v>154</v>
      </c>
      <c r="B155" s="66"/>
      <c r="C155" s="67"/>
      <c r="D155" s="68"/>
      <c r="E155" s="66"/>
      <c r="F155" s="66"/>
      <c r="G155" s="66"/>
      <c r="H155" s="68"/>
      <c r="I155" s="66" t="str">
        <f t="shared" ca="1" si="4"/>
        <v/>
      </c>
    </row>
    <row r="156" spans="1:9" ht="14.25" customHeight="1" x14ac:dyDescent="0.35">
      <c r="A156" s="68">
        <f t="shared" si="5"/>
        <v>155</v>
      </c>
      <c r="B156" s="66"/>
      <c r="C156" s="67"/>
      <c r="D156" s="68"/>
      <c r="E156" s="66"/>
      <c r="F156" s="66"/>
      <c r="G156" s="66"/>
      <c r="H156" s="68"/>
      <c r="I156" s="66" t="str">
        <f t="shared" ca="1" si="4"/>
        <v/>
      </c>
    </row>
    <row r="157" spans="1:9" ht="14.25" customHeight="1" x14ac:dyDescent="0.35">
      <c r="A157" s="68">
        <f t="shared" si="5"/>
        <v>156</v>
      </c>
      <c r="B157" s="66"/>
      <c r="C157" s="67"/>
      <c r="D157" s="68"/>
      <c r="E157" s="66"/>
      <c r="F157" s="66"/>
      <c r="G157" s="66"/>
      <c r="H157" s="68"/>
      <c r="I157" s="66" t="str">
        <f t="shared" ca="1" si="4"/>
        <v/>
      </c>
    </row>
    <row r="158" spans="1:9" ht="14.25" customHeight="1" x14ac:dyDescent="0.35">
      <c r="A158" s="68">
        <f t="shared" si="5"/>
        <v>157</v>
      </c>
      <c r="B158" s="66"/>
      <c r="C158" s="67"/>
      <c r="D158" s="68"/>
      <c r="E158" s="66"/>
      <c r="F158" s="66"/>
      <c r="G158" s="66"/>
      <c r="H158" s="68"/>
      <c r="I158" s="66" t="str">
        <f t="shared" ca="1" si="4"/>
        <v/>
      </c>
    </row>
    <row r="159" spans="1:9" ht="14.25" customHeight="1" x14ac:dyDescent="0.35">
      <c r="A159" s="68">
        <f t="shared" si="5"/>
        <v>158</v>
      </c>
      <c r="B159" s="66"/>
      <c r="C159" s="67"/>
      <c r="D159" s="68"/>
      <c r="E159" s="66"/>
      <c r="F159" s="66"/>
      <c r="G159" s="66"/>
      <c r="H159" s="68"/>
      <c r="I159" s="66" t="str">
        <f t="shared" ca="1" si="4"/>
        <v/>
      </c>
    </row>
    <row r="160" spans="1:9" ht="14.25" customHeight="1" x14ac:dyDescent="0.35">
      <c r="A160" s="68">
        <f t="shared" si="5"/>
        <v>159</v>
      </c>
      <c r="B160" s="66"/>
      <c r="C160" s="67"/>
      <c r="D160" s="68"/>
      <c r="E160" s="66"/>
      <c r="F160" s="66"/>
      <c r="G160" s="66"/>
      <c r="H160" s="68"/>
      <c r="I160" s="66" t="str">
        <f t="shared" ca="1" si="4"/>
        <v/>
      </c>
    </row>
    <row r="161" spans="1:9" ht="14.25" customHeight="1" x14ac:dyDescent="0.35">
      <c r="A161" s="68">
        <f t="shared" si="5"/>
        <v>160</v>
      </c>
      <c r="B161" s="66"/>
      <c r="C161" s="67"/>
      <c r="D161" s="68"/>
      <c r="E161" s="66"/>
      <c r="F161" s="66"/>
      <c r="G161" s="66"/>
      <c r="H161" s="68"/>
      <c r="I161" s="66" t="str">
        <f t="shared" ca="1" si="4"/>
        <v/>
      </c>
    </row>
    <row r="162" spans="1:9" ht="14.25" customHeight="1" x14ac:dyDescent="0.35">
      <c r="A162" s="68">
        <f t="shared" si="5"/>
        <v>161</v>
      </c>
      <c r="B162" s="66"/>
      <c r="C162" s="67"/>
      <c r="D162" s="68"/>
      <c r="E162" s="66"/>
      <c r="F162" s="66"/>
      <c r="G162" s="66"/>
      <c r="H162" s="68"/>
      <c r="I162" s="66" t="str">
        <f t="shared" ca="1" si="4"/>
        <v/>
      </c>
    </row>
    <row r="163" spans="1:9" ht="14.25" customHeight="1" x14ac:dyDescent="0.35">
      <c r="A163" s="68">
        <f t="shared" si="5"/>
        <v>162</v>
      </c>
      <c r="B163" s="66"/>
      <c r="C163" s="67"/>
      <c r="D163" s="68"/>
      <c r="E163" s="66"/>
      <c r="F163" s="66"/>
      <c r="G163" s="66"/>
      <c r="H163" s="68"/>
      <c r="I163" s="66" t="str">
        <f t="shared" ca="1" si="4"/>
        <v/>
      </c>
    </row>
    <row r="164" spans="1:9" ht="14.25" customHeight="1" x14ac:dyDescent="0.35">
      <c r="A164" s="68">
        <f t="shared" si="5"/>
        <v>163</v>
      </c>
      <c r="B164" s="66"/>
      <c r="C164" s="67"/>
      <c r="D164" s="68"/>
      <c r="E164" s="66"/>
      <c r="F164" s="66"/>
      <c r="G164" s="66"/>
      <c r="H164" s="68"/>
      <c r="I164" s="66" t="str">
        <f t="shared" ca="1" si="4"/>
        <v/>
      </c>
    </row>
    <row r="165" spans="1:9" ht="14.25" customHeight="1" x14ac:dyDescent="0.35">
      <c r="A165" s="68">
        <f t="shared" si="5"/>
        <v>164</v>
      </c>
      <c r="B165" s="66"/>
      <c r="C165" s="67"/>
      <c r="D165" s="68"/>
      <c r="E165" s="66"/>
      <c r="F165" s="66"/>
      <c r="G165" s="66"/>
      <c r="H165" s="68"/>
      <c r="I165" s="66" t="str">
        <f t="shared" ca="1" si="4"/>
        <v/>
      </c>
    </row>
    <row r="166" spans="1:9" ht="14.25" customHeight="1" x14ac:dyDescent="0.35">
      <c r="A166" s="68">
        <f t="shared" si="5"/>
        <v>165</v>
      </c>
      <c r="B166" s="66"/>
      <c r="C166" s="67"/>
      <c r="D166" s="68"/>
      <c r="E166" s="66"/>
      <c r="F166" s="66"/>
      <c r="G166" s="66"/>
      <c r="H166" s="68"/>
      <c r="I166" s="66" t="str">
        <f t="shared" ca="1" si="4"/>
        <v/>
      </c>
    </row>
    <row r="167" spans="1:9" ht="14.25" customHeight="1" x14ac:dyDescent="0.35">
      <c r="A167" s="68">
        <f t="shared" si="5"/>
        <v>166</v>
      </c>
      <c r="B167" s="66"/>
      <c r="C167" s="67"/>
      <c r="D167" s="68"/>
      <c r="E167" s="66"/>
      <c r="F167" s="66"/>
      <c r="G167" s="66"/>
      <c r="H167" s="68"/>
      <c r="I167" s="66" t="str">
        <f t="shared" ca="1" si="4"/>
        <v/>
      </c>
    </row>
    <row r="168" spans="1:9" ht="14.25" customHeight="1" x14ac:dyDescent="0.35">
      <c r="A168" s="68">
        <f t="shared" si="5"/>
        <v>167</v>
      </c>
      <c r="B168" s="66"/>
      <c r="C168" s="67"/>
      <c r="D168" s="68"/>
      <c r="E168" s="66"/>
      <c r="F168" s="66"/>
      <c r="G168" s="66"/>
      <c r="H168" s="68"/>
      <c r="I168" s="66" t="str">
        <f t="shared" ca="1" si="4"/>
        <v/>
      </c>
    </row>
    <row r="169" spans="1:9" ht="14.25" customHeight="1" x14ac:dyDescent="0.35">
      <c r="A169" s="68">
        <f t="shared" si="5"/>
        <v>168</v>
      </c>
      <c r="B169" s="66"/>
      <c r="C169" s="67"/>
      <c r="D169" s="68"/>
      <c r="E169" s="66"/>
      <c r="F169" s="66"/>
      <c r="G169" s="66"/>
      <c r="H169" s="68"/>
      <c r="I169" s="66" t="str">
        <f t="shared" ca="1" si="4"/>
        <v/>
      </c>
    </row>
    <row r="170" spans="1:9" ht="14.25" customHeight="1" x14ac:dyDescent="0.35">
      <c r="A170" s="68">
        <f t="shared" si="5"/>
        <v>169</v>
      </c>
      <c r="B170" s="66"/>
      <c r="C170" s="67"/>
      <c r="D170" s="68"/>
      <c r="E170" s="66"/>
      <c r="F170" s="66"/>
      <c r="G170" s="66"/>
      <c r="H170" s="68"/>
      <c r="I170" s="66" t="str">
        <f t="shared" ca="1" si="4"/>
        <v/>
      </c>
    </row>
    <row r="171" spans="1:9" ht="14.25" customHeight="1" x14ac:dyDescent="0.35">
      <c r="A171" s="68">
        <f t="shared" si="5"/>
        <v>170</v>
      </c>
      <c r="B171" s="66"/>
      <c r="C171" s="67"/>
      <c r="D171" s="68"/>
      <c r="E171" s="66"/>
      <c r="F171" s="66"/>
      <c r="G171" s="66"/>
      <c r="H171" s="68"/>
      <c r="I171" s="66" t="str">
        <f t="shared" ca="1" si="4"/>
        <v/>
      </c>
    </row>
    <row r="172" spans="1:9" ht="14.25" customHeight="1" x14ac:dyDescent="0.35">
      <c r="A172" s="68">
        <f t="shared" si="5"/>
        <v>171</v>
      </c>
      <c r="B172" s="66"/>
      <c r="C172" s="67"/>
      <c r="D172" s="68"/>
      <c r="E172" s="66"/>
      <c r="F172" s="66"/>
      <c r="G172" s="66"/>
      <c r="H172" s="68"/>
      <c r="I172" s="66" t="str">
        <f t="shared" ca="1" si="4"/>
        <v/>
      </c>
    </row>
    <row r="173" spans="1:9" ht="14.25" customHeight="1" x14ac:dyDescent="0.35">
      <c r="A173" s="68">
        <f t="shared" si="5"/>
        <v>172</v>
      </c>
      <c r="B173" s="66"/>
      <c r="C173" s="67"/>
      <c r="D173" s="68"/>
      <c r="E173" s="66"/>
      <c r="F173" s="66"/>
      <c r="G173" s="66"/>
      <c r="H173" s="68"/>
      <c r="I173" s="66" t="str">
        <f t="shared" ca="1" si="4"/>
        <v/>
      </c>
    </row>
    <row r="174" spans="1:9" ht="14.25" customHeight="1" x14ac:dyDescent="0.35">
      <c r="A174" s="68">
        <f t="shared" si="5"/>
        <v>173</v>
      </c>
      <c r="B174" s="66"/>
      <c r="C174" s="67"/>
      <c r="D174" s="68"/>
      <c r="E174" s="66"/>
      <c r="F174" s="66"/>
      <c r="G174" s="66"/>
      <c r="H174" s="68"/>
      <c r="I174" s="66" t="str">
        <f t="shared" ca="1" si="4"/>
        <v/>
      </c>
    </row>
    <row r="175" spans="1:9" ht="14.25" customHeight="1" x14ac:dyDescent="0.35">
      <c r="A175" s="68">
        <f t="shared" si="5"/>
        <v>174</v>
      </c>
      <c r="B175" s="66"/>
      <c r="C175" s="67"/>
      <c r="D175" s="68"/>
      <c r="E175" s="66"/>
      <c r="F175" s="66"/>
      <c r="G175" s="66"/>
      <c r="H175" s="68"/>
      <c r="I175" s="66" t="str">
        <f t="shared" ca="1" si="4"/>
        <v/>
      </c>
    </row>
    <row r="176" spans="1:9" ht="14.25" customHeight="1" x14ac:dyDescent="0.35">
      <c r="A176" s="68">
        <f t="shared" si="5"/>
        <v>175</v>
      </c>
      <c r="B176" s="66"/>
      <c r="C176" s="67"/>
      <c r="D176" s="68"/>
      <c r="E176" s="66"/>
      <c r="F176" s="66"/>
      <c r="G176" s="66"/>
      <c r="H176" s="68"/>
      <c r="I176" s="66" t="str">
        <f t="shared" ca="1" si="4"/>
        <v/>
      </c>
    </row>
    <row r="177" spans="1:9" ht="14.25" customHeight="1" x14ac:dyDescent="0.35">
      <c r="A177" s="68">
        <f t="shared" si="5"/>
        <v>176</v>
      </c>
      <c r="B177" s="66"/>
      <c r="C177" s="67"/>
      <c r="D177" s="68"/>
      <c r="E177" s="66"/>
      <c r="F177" s="66"/>
      <c r="G177" s="66"/>
      <c r="H177" s="68"/>
      <c r="I177" s="66" t="str">
        <f t="shared" ca="1" si="4"/>
        <v/>
      </c>
    </row>
    <row r="178" spans="1:9" ht="14.25" customHeight="1" x14ac:dyDescent="0.35">
      <c r="A178" s="68">
        <f t="shared" si="5"/>
        <v>177</v>
      </c>
      <c r="B178" s="66"/>
      <c r="C178" s="67"/>
      <c r="D178" s="68"/>
      <c r="E178" s="66"/>
      <c r="F178" s="66"/>
      <c r="G178" s="66"/>
      <c r="H178" s="68"/>
      <c r="I178" s="66" t="str">
        <f t="shared" ca="1" si="4"/>
        <v/>
      </c>
    </row>
    <row r="179" spans="1:9" ht="14.25" customHeight="1" x14ac:dyDescent="0.35">
      <c r="A179" s="68">
        <f t="shared" si="5"/>
        <v>178</v>
      </c>
      <c r="B179" s="66"/>
      <c r="C179" s="67"/>
      <c r="D179" s="68"/>
      <c r="E179" s="66"/>
      <c r="F179" s="66"/>
      <c r="G179" s="66"/>
      <c r="H179" s="68"/>
      <c r="I179" s="66" t="str">
        <f t="shared" ca="1" si="4"/>
        <v/>
      </c>
    </row>
    <row r="180" spans="1:9" ht="14.25" customHeight="1" x14ac:dyDescent="0.35">
      <c r="A180" s="68">
        <f t="shared" si="5"/>
        <v>179</v>
      </c>
      <c r="B180" s="66"/>
      <c r="C180" s="67"/>
      <c r="D180" s="68"/>
      <c r="E180" s="66"/>
      <c r="F180" s="66"/>
      <c r="G180" s="66"/>
      <c r="H180" s="68"/>
      <c r="I180" s="66" t="str">
        <f t="shared" ca="1" si="4"/>
        <v/>
      </c>
    </row>
    <row r="181" spans="1:9" ht="14.25" customHeight="1" x14ac:dyDescent="0.35">
      <c r="A181" s="68">
        <f t="shared" si="5"/>
        <v>180</v>
      </c>
      <c r="B181" s="66"/>
      <c r="C181" s="67"/>
      <c r="D181" s="68"/>
      <c r="E181" s="66"/>
      <c r="F181" s="66"/>
      <c r="G181" s="66"/>
      <c r="H181" s="68"/>
      <c r="I181" s="66" t="str">
        <f t="shared" ca="1" si="4"/>
        <v/>
      </c>
    </row>
    <row r="182" spans="1:9" ht="14.25" customHeight="1" x14ac:dyDescent="0.35">
      <c r="A182" s="68">
        <f t="shared" si="5"/>
        <v>181</v>
      </c>
      <c r="B182" s="66"/>
      <c r="C182" s="67"/>
      <c r="D182" s="68"/>
      <c r="E182" s="66"/>
      <c r="F182" s="66"/>
      <c r="G182" s="66"/>
      <c r="H182" s="68"/>
      <c r="I182" s="66" t="str">
        <f t="shared" ca="1" si="4"/>
        <v/>
      </c>
    </row>
    <row r="183" spans="1:9" ht="14.25" customHeight="1" x14ac:dyDescent="0.35">
      <c r="A183" s="68">
        <f t="shared" si="5"/>
        <v>182</v>
      </c>
      <c r="B183" s="66"/>
      <c r="C183" s="67"/>
      <c r="D183" s="68"/>
      <c r="E183" s="66"/>
      <c r="F183" s="66"/>
      <c r="G183" s="66"/>
      <c r="H183" s="68"/>
      <c r="I183" s="66" t="str">
        <f t="shared" ca="1" si="4"/>
        <v/>
      </c>
    </row>
    <row r="184" spans="1:9" ht="14.25" customHeight="1" x14ac:dyDescent="0.35">
      <c r="A184" s="68">
        <f t="shared" si="5"/>
        <v>183</v>
      </c>
      <c r="B184" s="66"/>
      <c r="C184" s="67"/>
      <c r="D184" s="68"/>
      <c r="E184" s="66"/>
      <c r="F184" s="66"/>
      <c r="G184" s="66"/>
      <c r="H184" s="68"/>
      <c r="I184" s="66" t="str">
        <f t="shared" ca="1" si="4"/>
        <v/>
      </c>
    </row>
    <row r="185" spans="1:9" ht="14.25" customHeight="1" x14ac:dyDescent="0.35">
      <c r="A185" s="68">
        <f t="shared" si="5"/>
        <v>184</v>
      </c>
      <c r="B185" s="66"/>
      <c r="C185" s="67"/>
      <c r="D185" s="68"/>
      <c r="E185" s="66"/>
      <c r="F185" s="66"/>
      <c r="G185" s="66"/>
      <c r="H185" s="68"/>
      <c r="I185" s="66" t="str">
        <f t="shared" ca="1" si="4"/>
        <v/>
      </c>
    </row>
    <row r="186" spans="1:9" ht="14.25" customHeight="1" x14ac:dyDescent="0.35">
      <c r="A186" s="68">
        <f t="shared" si="5"/>
        <v>185</v>
      </c>
      <c r="B186" s="66"/>
      <c r="C186" s="67"/>
      <c r="D186" s="68"/>
      <c r="E186" s="66"/>
      <c r="F186" s="66"/>
      <c r="G186" s="66"/>
      <c r="H186" s="68"/>
      <c r="I186" s="66" t="str">
        <f t="shared" ca="1" si="4"/>
        <v/>
      </c>
    </row>
    <row r="187" spans="1:9" ht="14.25" customHeight="1" x14ac:dyDescent="0.35">
      <c r="A187" s="68">
        <f t="shared" si="5"/>
        <v>186</v>
      </c>
      <c r="B187" s="66"/>
      <c r="C187" s="67"/>
      <c r="D187" s="68"/>
      <c r="E187" s="66"/>
      <c r="F187" s="66"/>
      <c r="G187" s="66"/>
      <c r="H187" s="68"/>
      <c r="I187" s="66" t="str">
        <f t="shared" ca="1" si="4"/>
        <v/>
      </c>
    </row>
    <row r="188" spans="1:9" ht="14.25" customHeight="1" x14ac:dyDescent="0.35">
      <c r="A188" s="68">
        <f t="shared" si="5"/>
        <v>187</v>
      </c>
      <c r="B188" s="66"/>
      <c r="C188" s="67"/>
      <c r="D188" s="68"/>
      <c r="E188" s="66"/>
      <c r="F188" s="66"/>
      <c r="G188" s="66"/>
      <c r="H188" s="68"/>
      <c r="I188" s="66" t="str">
        <f t="shared" ca="1" si="4"/>
        <v/>
      </c>
    </row>
    <row r="189" spans="1:9" ht="14.25" customHeight="1" x14ac:dyDescent="0.35">
      <c r="A189" s="68">
        <f t="shared" si="5"/>
        <v>188</v>
      </c>
      <c r="B189" s="66"/>
      <c r="C189" s="67"/>
      <c r="D189" s="68"/>
      <c r="E189" s="66"/>
      <c r="F189" s="66"/>
      <c r="G189" s="66"/>
      <c r="H189" s="68"/>
      <c r="I189" s="66" t="str">
        <f t="shared" ca="1" si="4"/>
        <v/>
      </c>
    </row>
    <row r="190" spans="1:9" ht="14.25" customHeight="1" x14ac:dyDescent="0.35">
      <c r="A190" s="68">
        <f t="shared" si="5"/>
        <v>189</v>
      </c>
      <c r="B190" s="66"/>
      <c r="C190" s="67"/>
      <c r="D190" s="68"/>
      <c r="E190" s="66"/>
      <c r="F190" s="66"/>
      <c r="G190" s="66"/>
      <c r="H190" s="68"/>
      <c r="I190" s="66" t="str">
        <f t="shared" ca="1" si="4"/>
        <v/>
      </c>
    </row>
    <row r="191" spans="1:9" ht="14.25" customHeight="1" x14ac:dyDescent="0.35">
      <c r="A191" s="68">
        <f t="shared" si="5"/>
        <v>190</v>
      </c>
      <c r="B191" s="66"/>
      <c r="C191" s="67"/>
      <c r="D191" s="68"/>
      <c r="E191" s="66"/>
      <c r="F191" s="66"/>
      <c r="G191" s="66"/>
      <c r="H191" s="68"/>
      <c r="I191" s="66" t="str">
        <f t="shared" ca="1" si="4"/>
        <v/>
      </c>
    </row>
    <row r="192" spans="1:9" ht="14.25" customHeight="1" x14ac:dyDescent="0.35">
      <c r="A192" s="68">
        <f t="shared" si="5"/>
        <v>191</v>
      </c>
      <c r="B192" s="66"/>
      <c r="C192" s="67"/>
      <c r="D192" s="68"/>
      <c r="E192" s="66"/>
      <c r="F192" s="66"/>
      <c r="G192" s="66"/>
      <c r="H192" s="68"/>
      <c r="I192" s="66" t="str">
        <f t="shared" ca="1" si="4"/>
        <v/>
      </c>
    </row>
    <row r="193" spans="1:9" ht="14.25" customHeight="1" x14ac:dyDescent="0.35">
      <c r="A193" s="68">
        <f t="shared" si="5"/>
        <v>192</v>
      </c>
      <c r="B193" s="66"/>
      <c r="C193" s="67"/>
      <c r="D193" s="68"/>
      <c r="E193" s="66"/>
      <c r="F193" s="66"/>
      <c r="G193" s="66"/>
      <c r="H193" s="68"/>
      <c r="I193" s="66" t="str">
        <f t="shared" ca="1" si="4"/>
        <v/>
      </c>
    </row>
    <row r="194" spans="1:9" ht="14.25" customHeight="1" x14ac:dyDescent="0.35">
      <c r="A194" s="68">
        <f t="shared" si="5"/>
        <v>193</v>
      </c>
      <c r="B194" s="66"/>
      <c r="C194" s="67"/>
      <c r="D194" s="68"/>
      <c r="E194" s="66"/>
      <c r="F194" s="66"/>
      <c r="G194" s="66"/>
      <c r="H194" s="68"/>
      <c r="I194" s="66" t="str">
        <f t="shared" ref="I194:I258" ca="1" si="6">IF(B194="","",IF(G194="-","Not Retired",IF(G194&lt;YEAR(NOW()),"Retired","Not Retired")))</f>
        <v/>
      </c>
    </row>
    <row r="195" spans="1:9" ht="14.25" customHeight="1" x14ac:dyDescent="0.35">
      <c r="A195" s="68">
        <f t="shared" ref="A195:A258" si="7">+A194+1</f>
        <v>194</v>
      </c>
      <c r="B195" s="66"/>
      <c r="C195" s="67"/>
      <c r="D195" s="68"/>
      <c r="E195" s="66"/>
      <c r="F195" s="66"/>
      <c r="G195" s="66"/>
      <c r="H195" s="68"/>
      <c r="I195" s="66" t="str">
        <f t="shared" ca="1" si="6"/>
        <v/>
      </c>
    </row>
    <row r="196" spans="1:9" ht="14.25" customHeight="1" x14ac:dyDescent="0.35">
      <c r="A196" s="68">
        <f t="shared" si="7"/>
        <v>195</v>
      </c>
      <c r="B196" s="66"/>
      <c r="C196" s="67"/>
      <c r="D196" s="68"/>
      <c r="E196" s="66"/>
      <c r="F196" s="66"/>
      <c r="G196" s="66"/>
      <c r="H196" s="68"/>
      <c r="I196" s="66" t="str">
        <f t="shared" ca="1" si="6"/>
        <v/>
      </c>
    </row>
    <row r="197" spans="1:9" ht="14.25" customHeight="1" x14ac:dyDescent="0.35">
      <c r="A197" s="68">
        <f t="shared" si="7"/>
        <v>196</v>
      </c>
      <c r="B197" s="66"/>
      <c r="C197" s="67"/>
      <c r="D197" s="68"/>
      <c r="E197" s="66"/>
      <c r="F197" s="66"/>
      <c r="G197" s="66"/>
      <c r="H197" s="68"/>
      <c r="I197" s="66" t="str">
        <f t="shared" ca="1" si="6"/>
        <v/>
      </c>
    </row>
    <row r="198" spans="1:9" ht="14.25" customHeight="1" x14ac:dyDescent="0.35">
      <c r="A198" s="68">
        <f t="shared" si="7"/>
        <v>197</v>
      </c>
      <c r="B198" s="66"/>
      <c r="C198" s="67"/>
      <c r="D198" s="68"/>
      <c r="E198" s="66"/>
      <c r="F198" s="66"/>
      <c r="G198" s="66"/>
      <c r="H198" s="68"/>
      <c r="I198" s="66" t="str">
        <f t="shared" ca="1" si="6"/>
        <v/>
      </c>
    </row>
    <row r="199" spans="1:9" ht="14.25" customHeight="1" x14ac:dyDescent="0.35">
      <c r="A199" s="68">
        <f t="shared" si="7"/>
        <v>198</v>
      </c>
      <c r="B199" s="66"/>
      <c r="C199" s="67"/>
      <c r="D199" s="68"/>
      <c r="E199" s="66"/>
      <c r="F199" s="66"/>
      <c r="G199" s="66"/>
      <c r="H199" s="68"/>
      <c r="I199" s="66" t="str">
        <f t="shared" ca="1" si="6"/>
        <v/>
      </c>
    </row>
    <row r="200" spans="1:9" ht="14.25" customHeight="1" x14ac:dyDescent="0.35">
      <c r="A200" s="68">
        <f t="shared" si="7"/>
        <v>199</v>
      </c>
      <c r="B200" s="66"/>
      <c r="C200" s="67"/>
      <c r="D200" s="68"/>
      <c r="E200" s="66"/>
      <c r="F200" s="66"/>
      <c r="G200" s="66"/>
      <c r="H200" s="68"/>
      <c r="I200" s="66" t="str">
        <f t="shared" ca="1" si="6"/>
        <v/>
      </c>
    </row>
    <row r="201" spans="1:9" ht="14.25" customHeight="1" x14ac:dyDescent="0.35">
      <c r="A201" s="68">
        <f t="shared" si="7"/>
        <v>200</v>
      </c>
      <c r="B201" s="66"/>
      <c r="C201" s="67"/>
      <c r="D201" s="68"/>
      <c r="E201" s="66"/>
      <c r="F201" s="66"/>
      <c r="G201" s="66"/>
      <c r="H201" s="68"/>
      <c r="I201" s="66" t="str">
        <f t="shared" ca="1" si="6"/>
        <v/>
      </c>
    </row>
    <row r="202" spans="1:9" ht="14.25" customHeight="1" x14ac:dyDescent="0.35">
      <c r="A202" s="68">
        <f t="shared" si="7"/>
        <v>201</v>
      </c>
      <c r="B202" s="66"/>
      <c r="C202" s="67"/>
      <c r="D202" s="68"/>
      <c r="E202" s="66"/>
      <c r="F202" s="66"/>
      <c r="G202" s="66"/>
      <c r="H202" s="68"/>
      <c r="I202" s="66" t="str">
        <f t="shared" ca="1" si="6"/>
        <v/>
      </c>
    </row>
    <row r="203" spans="1:9" ht="14.25" customHeight="1" x14ac:dyDescent="0.35">
      <c r="A203" s="68">
        <f t="shared" si="7"/>
        <v>202</v>
      </c>
      <c r="B203" s="66"/>
      <c r="C203" s="67"/>
      <c r="D203" s="68"/>
      <c r="E203" s="66"/>
      <c r="F203" s="66"/>
      <c r="G203" s="66"/>
      <c r="H203" s="68"/>
      <c r="I203" s="66" t="str">
        <f t="shared" ca="1" si="6"/>
        <v/>
      </c>
    </row>
    <row r="204" spans="1:9" ht="14.25" customHeight="1" x14ac:dyDescent="0.35">
      <c r="A204" s="68">
        <f t="shared" si="7"/>
        <v>203</v>
      </c>
      <c r="B204" s="66"/>
      <c r="C204" s="67"/>
      <c r="D204" s="68"/>
      <c r="E204" s="66"/>
      <c r="F204" s="66"/>
      <c r="G204" s="66"/>
      <c r="H204" s="68"/>
      <c r="I204" s="66" t="str">
        <f t="shared" ca="1" si="6"/>
        <v/>
      </c>
    </row>
    <row r="205" spans="1:9" ht="14.25" customHeight="1" x14ac:dyDescent="0.35">
      <c r="A205" s="68">
        <f t="shared" si="7"/>
        <v>204</v>
      </c>
      <c r="B205" s="66"/>
      <c r="C205" s="67"/>
      <c r="D205" s="68"/>
      <c r="E205" s="66"/>
      <c r="F205" s="66"/>
      <c r="G205" s="66"/>
      <c r="H205" s="68"/>
      <c r="I205" s="66" t="str">
        <f t="shared" ca="1" si="6"/>
        <v/>
      </c>
    </row>
    <row r="206" spans="1:9" ht="14.25" customHeight="1" x14ac:dyDescent="0.35">
      <c r="A206" s="68">
        <f t="shared" si="7"/>
        <v>205</v>
      </c>
      <c r="B206" s="66"/>
      <c r="C206" s="67"/>
      <c r="D206" s="68"/>
      <c r="E206" s="66"/>
      <c r="F206" s="66"/>
      <c r="G206" s="66"/>
      <c r="H206" s="68"/>
      <c r="I206" s="66" t="str">
        <f t="shared" ca="1" si="6"/>
        <v/>
      </c>
    </row>
    <row r="207" spans="1:9" ht="14.25" customHeight="1" x14ac:dyDescent="0.35">
      <c r="A207" s="68">
        <f t="shared" si="7"/>
        <v>206</v>
      </c>
      <c r="B207" s="66"/>
      <c r="C207" s="67"/>
      <c r="D207" s="68"/>
      <c r="E207" s="66"/>
      <c r="F207" s="66"/>
      <c r="G207" s="66"/>
      <c r="H207" s="68"/>
      <c r="I207" s="66" t="str">
        <f t="shared" ca="1" si="6"/>
        <v/>
      </c>
    </row>
    <row r="208" spans="1:9" ht="14.25" customHeight="1" x14ac:dyDescent="0.35">
      <c r="A208" s="68">
        <f t="shared" si="7"/>
        <v>207</v>
      </c>
      <c r="B208" s="66"/>
      <c r="C208" s="67"/>
      <c r="D208" s="68"/>
      <c r="E208" s="66"/>
      <c r="F208" s="66"/>
      <c r="G208" s="66"/>
      <c r="H208" s="68"/>
      <c r="I208" s="66" t="str">
        <f t="shared" ca="1" si="6"/>
        <v/>
      </c>
    </row>
    <row r="209" spans="1:9" ht="14.25" customHeight="1" x14ac:dyDescent="0.35">
      <c r="A209" s="68">
        <f t="shared" si="7"/>
        <v>208</v>
      </c>
      <c r="B209" s="66"/>
      <c r="C209" s="67"/>
      <c r="D209" s="68"/>
      <c r="E209" s="66"/>
      <c r="F209" s="66"/>
      <c r="G209" s="66"/>
      <c r="H209" s="68"/>
      <c r="I209" s="66" t="str">
        <f t="shared" ca="1" si="6"/>
        <v/>
      </c>
    </row>
    <row r="210" spans="1:9" ht="14.25" customHeight="1" x14ac:dyDescent="0.35">
      <c r="A210" s="68">
        <f t="shared" si="7"/>
        <v>209</v>
      </c>
      <c r="B210" s="66"/>
      <c r="C210" s="67"/>
      <c r="D210" s="68"/>
      <c r="E210" s="66"/>
      <c r="F210" s="66"/>
      <c r="G210" s="66"/>
      <c r="H210" s="68"/>
      <c r="I210" s="66" t="str">
        <f t="shared" ca="1" si="6"/>
        <v/>
      </c>
    </row>
    <row r="211" spans="1:9" ht="14.25" customHeight="1" x14ac:dyDescent="0.35">
      <c r="A211" s="68">
        <f t="shared" si="7"/>
        <v>210</v>
      </c>
      <c r="B211" s="66"/>
      <c r="C211" s="67"/>
      <c r="D211" s="68"/>
      <c r="E211" s="66"/>
      <c r="F211" s="66"/>
      <c r="G211" s="66"/>
      <c r="H211" s="68"/>
      <c r="I211" s="66" t="str">
        <f t="shared" ca="1" si="6"/>
        <v/>
      </c>
    </row>
    <row r="212" spans="1:9" ht="14.25" customHeight="1" x14ac:dyDescent="0.35">
      <c r="A212" s="68">
        <f t="shared" si="7"/>
        <v>211</v>
      </c>
      <c r="B212" s="66"/>
      <c r="C212" s="67"/>
      <c r="D212" s="68"/>
      <c r="E212" s="66"/>
      <c r="F212" s="66"/>
      <c r="G212" s="66"/>
      <c r="H212" s="68"/>
      <c r="I212" s="66" t="str">
        <f t="shared" ca="1" si="6"/>
        <v/>
      </c>
    </row>
    <row r="213" spans="1:9" ht="14.25" customHeight="1" x14ac:dyDescent="0.35">
      <c r="A213" s="68">
        <f t="shared" si="7"/>
        <v>212</v>
      </c>
      <c r="B213" s="66"/>
      <c r="C213" s="67"/>
      <c r="D213" s="68"/>
      <c r="E213" s="66"/>
      <c r="F213" s="66"/>
      <c r="G213" s="66"/>
      <c r="H213" s="68"/>
      <c r="I213" s="66" t="str">
        <f t="shared" ca="1" si="6"/>
        <v/>
      </c>
    </row>
    <row r="214" spans="1:9" ht="14.25" customHeight="1" x14ac:dyDescent="0.35">
      <c r="A214" s="68">
        <f t="shared" si="7"/>
        <v>213</v>
      </c>
      <c r="B214" s="66"/>
      <c r="C214" s="67"/>
      <c r="D214" s="68"/>
      <c r="E214" s="66"/>
      <c r="F214" s="66"/>
      <c r="G214" s="66"/>
      <c r="H214" s="68"/>
      <c r="I214" s="66" t="str">
        <f t="shared" ca="1" si="6"/>
        <v/>
      </c>
    </row>
    <row r="215" spans="1:9" ht="14.25" customHeight="1" x14ac:dyDescent="0.35">
      <c r="A215" s="68">
        <f t="shared" si="7"/>
        <v>214</v>
      </c>
      <c r="B215" s="66"/>
      <c r="C215" s="67"/>
      <c r="D215" s="68"/>
      <c r="E215" s="66"/>
      <c r="F215" s="66"/>
      <c r="G215" s="66"/>
      <c r="H215" s="68"/>
      <c r="I215" s="66" t="str">
        <f t="shared" ca="1" si="6"/>
        <v/>
      </c>
    </row>
    <row r="216" spans="1:9" ht="14.25" customHeight="1" x14ac:dyDescent="0.35">
      <c r="A216" s="68">
        <f t="shared" si="7"/>
        <v>215</v>
      </c>
      <c r="B216" s="66"/>
      <c r="C216" s="67"/>
      <c r="D216" s="68"/>
      <c r="E216" s="66"/>
      <c r="F216" s="66"/>
      <c r="G216" s="66"/>
      <c r="H216" s="68"/>
      <c r="I216" s="66" t="str">
        <f t="shared" ca="1" si="6"/>
        <v/>
      </c>
    </row>
    <row r="217" spans="1:9" ht="14.25" customHeight="1" x14ac:dyDescent="0.35">
      <c r="A217" s="68">
        <f t="shared" si="7"/>
        <v>216</v>
      </c>
      <c r="B217" s="66"/>
      <c r="C217" s="67"/>
      <c r="D217" s="68"/>
      <c r="E217" s="66"/>
      <c r="F217" s="66"/>
      <c r="G217" s="66"/>
      <c r="H217" s="68"/>
      <c r="I217" s="66" t="str">
        <f t="shared" ca="1" si="6"/>
        <v/>
      </c>
    </row>
    <row r="218" spans="1:9" ht="14.25" customHeight="1" x14ac:dyDescent="0.35">
      <c r="A218" s="68">
        <f t="shared" si="7"/>
        <v>217</v>
      </c>
      <c r="B218" s="66"/>
      <c r="C218" s="67"/>
      <c r="D218" s="68"/>
      <c r="E218" s="66"/>
      <c r="F218" s="66"/>
      <c r="G218" s="66"/>
      <c r="H218" s="68"/>
      <c r="I218" s="66" t="str">
        <f t="shared" ca="1" si="6"/>
        <v/>
      </c>
    </row>
    <row r="219" spans="1:9" ht="14.25" customHeight="1" x14ac:dyDescent="0.35">
      <c r="A219" s="68">
        <f t="shared" si="7"/>
        <v>218</v>
      </c>
      <c r="B219" s="66"/>
      <c r="C219" s="67"/>
      <c r="D219" s="68"/>
      <c r="E219" s="66"/>
      <c r="F219" s="66"/>
      <c r="G219" s="66"/>
      <c r="H219" s="68"/>
      <c r="I219" s="66" t="str">
        <f t="shared" ca="1" si="6"/>
        <v/>
      </c>
    </row>
    <row r="220" spans="1:9" ht="14.25" customHeight="1" x14ac:dyDescent="0.35">
      <c r="A220" s="68">
        <f t="shared" si="7"/>
        <v>219</v>
      </c>
      <c r="B220" s="66"/>
      <c r="C220" s="67"/>
      <c r="D220" s="68"/>
      <c r="E220" s="66"/>
      <c r="F220" s="66"/>
      <c r="G220" s="66"/>
      <c r="H220" s="68"/>
      <c r="I220" s="66" t="str">
        <f t="shared" ca="1" si="6"/>
        <v/>
      </c>
    </row>
    <row r="221" spans="1:9" ht="14.25" customHeight="1" x14ac:dyDescent="0.35">
      <c r="A221" s="68">
        <f t="shared" si="7"/>
        <v>220</v>
      </c>
      <c r="B221" s="66"/>
      <c r="C221" s="67"/>
      <c r="D221" s="68"/>
      <c r="E221" s="66"/>
      <c r="F221" s="66"/>
      <c r="G221" s="66"/>
      <c r="H221" s="68"/>
      <c r="I221" s="66" t="str">
        <f t="shared" ca="1" si="6"/>
        <v/>
      </c>
    </row>
    <row r="222" spans="1:9" ht="14.25" customHeight="1" x14ac:dyDescent="0.35">
      <c r="A222" s="68">
        <f t="shared" si="7"/>
        <v>221</v>
      </c>
      <c r="B222" s="66"/>
      <c r="C222" s="67"/>
      <c r="D222" s="68"/>
      <c r="E222" s="66"/>
      <c r="F222" s="66"/>
      <c r="G222" s="66"/>
      <c r="H222" s="68"/>
      <c r="I222" s="66" t="str">
        <f t="shared" ca="1" si="6"/>
        <v/>
      </c>
    </row>
    <row r="223" spans="1:9" ht="14.25" customHeight="1" x14ac:dyDescent="0.35">
      <c r="A223" s="68">
        <f t="shared" si="7"/>
        <v>222</v>
      </c>
      <c r="B223" s="66"/>
      <c r="C223" s="67"/>
      <c r="D223" s="68"/>
      <c r="E223" s="66"/>
      <c r="F223" s="66"/>
      <c r="G223" s="66"/>
      <c r="H223" s="68"/>
      <c r="I223" s="66" t="str">
        <f t="shared" ca="1" si="6"/>
        <v/>
      </c>
    </row>
    <row r="224" spans="1:9" ht="14.25" customHeight="1" x14ac:dyDescent="0.35">
      <c r="A224" s="68">
        <f t="shared" si="7"/>
        <v>223</v>
      </c>
      <c r="B224" s="66"/>
      <c r="C224" s="67"/>
      <c r="D224" s="68"/>
      <c r="E224" s="66"/>
      <c r="F224" s="66"/>
      <c r="G224" s="66"/>
      <c r="H224" s="68"/>
      <c r="I224" s="66" t="str">
        <f t="shared" ca="1" si="6"/>
        <v/>
      </c>
    </row>
    <row r="225" spans="1:9" ht="14.25" customHeight="1" x14ac:dyDescent="0.35">
      <c r="A225" s="68">
        <f t="shared" si="7"/>
        <v>224</v>
      </c>
      <c r="B225" s="66"/>
      <c r="C225" s="67"/>
      <c r="D225" s="68"/>
      <c r="E225" s="66"/>
      <c r="F225" s="66"/>
      <c r="G225" s="66"/>
      <c r="H225" s="68"/>
      <c r="I225" s="66" t="str">
        <f t="shared" ca="1" si="6"/>
        <v/>
      </c>
    </row>
    <row r="226" spans="1:9" ht="14.25" customHeight="1" x14ac:dyDescent="0.35">
      <c r="A226" s="68">
        <f t="shared" si="7"/>
        <v>225</v>
      </c>
      <c r="B226" s="66"/>
      <c r="C226" s="67"/>
      <c r="D226" s="68"/>
      <c r="E226" s="66"/>
      <c r="F226" s="66"/>
      <c r="G226" s="66"/>
      <c r="H226" s="68"/>
      <c r="I226" s="66" t="str">
        <f t="shared" ca="1" si="6"/>
        <v/>
      </c>
    </row>
    <row r="227" spans="1:9" ht="14.25" customHeight="1" x14ac:dyDescent="0.35">
      <c r="A227" s="68">
        <f t="shared" si="7"/>
        <v>226</v>
      </c>
      <c r="B227" s="66"/>
      <c r="C227" s="67"/>
      <c r="D227" s="68"/>
      <c r="E227" s="66"/>
      <c r="F227" s="66"/>
      <c r="G227" s="66"/>
      <c r="H227" s="68"/>
      <c r="I227" s="66" t="str">
        <f t="shared" ca="1" si="6"/>
        <v/>
      </c>
    </row>
    <row r="228" spans="1:9" ht="14.25" customHeight="1" x14ac:dyDescent="0.35">
      <c r="A228" s="68">
        <f t="shared" si="7"/>
        <v>227</v>
      </c>
      <c r="B228" s="66"/>
      <c r="C228" s="67"/>
      <c r="D228" s="68"/>
      <c r="E228" s="66"/>
      <c r="F228" s="66"/>
      <c r="G228" s="66"/>
      <c r="H228" s="68"/>
      <c r="I228" s="66" t="str">
        <f t="shared" ca="1" si="6"/>
        <v/>
      </c>
    </row>
    <row r="229" spans="1:9" ht="14.25" customHeight="1" x14ac:dyDescent="0.35">
      <c r="A229" s="68">
        <f t="shared" si="7"/>
        <v>228</v>
      </c>
      <c r="B229" s="66"/>
      <c r="C229" s="67"/>
      <c r="D229" s="68"/>
      <c r="E229" s="66"/>
      <c r="F229" s="66"/>
      <c r="G229" s="66"/>
      <c r="H229" s="68"/>
      <c r="I229" s="66" t="str">
        <f t="shared" ca="1" si="6"/>
        <v/>
      </c>
    </row>
    <row r="230" spans="1:9" ht="14.25" customHeight="1" x14ac:dyDescent="0.35">
      <c r="A230" s="68">
        <f t="shared" si="7"/>
        <v>229</v>
      </c>
      <c r="B230" s="66"/>
      <c r="C230" s="67"/>
      <c r="D230" s="68"/>
      <c r="E230" s="66"/>
      <c r="F230" s="66"/>
      <c r="G230" s="66"/>
      <c r="H230" s="68"/>
      <c r="I230" s="66" t="str">
        <f t="shared" ca="1" si="6"/>
        <v/>
      </c>
    </row>
    <row r="231" spans="1:9" ht="14.25" customHeight="1" x14ac:dyDescent="0.35">
      <c r="A231" s="68">
        <f t="shared" si="7"/>
        <v>230</v>
      </c>
      <c r="B231" s="66"/>
      <c r="C231" s="67"/>
      <c r="D231" s="68"/>
      <c r="E231" s="66"/>
      <c r="F231" s="66"/>
      <c r="G231" s="66"/>
      <c r="H231" s="68"/>
      <c r="I231" s="66" t="str">
        <f t="shared" ca="1" si="6"/>
        <v/>
      </c>
    </row>
    <row r="232" spans="1:9" ht="14.25" customHeight="1" x14ac:dyDescent="0.35">
      <c r="A232" s="68">
        <f t="shared" si="7"/>
        <v>231</v>
      </c>
      <c r="B232" s="66"/>
      <c r="C232" s="67"/>
      <c r="D232" s="68"/>
      <c r="E232" s="66"/>
      <c r="F232" s="66"/>
      <c r="G232" s="66"/>
      <c r="H232" s="68"/>
      <c r="I232" s="66" t="str">
        <f t="shared" ca="1" si="6"/>
        <v/>
      </c>
    </row>
    <row r="233" spans="1:9" ht="14.25" customHeight="1" x14ac:dyDescent="0.35">
      <c r="A233" s="68">
        <f t="shared" si="7"/>
        <v>232</v>
      </c>
      <c r="B233" s="66"/>
      <c r="C233" s="67"/>
      <c r="D233" s="68"/>
      <c r="E233" s="66"/>
      <c r="F233" s="66"/>
      <c r="G233" s="66"/>
      <c r="H233" s="68"/>
      <c r="I233" s="66" t="str">
        <f t="shared" ca="1" si="6"/>
        <v/>
      </c>
    </row>
    <row r="234" spans="1:9" ht="14.25" customHeight="1" x14ac:dyDescent="0.35">
      <c r="A234" s="68">
        <f t="shared" si="7"/>
        <v>233</v>
      </c>
      <c r="B234" s="66"/>
      <c r="C234" s="67"/>
      <c r="D234" s="68"/>
      <c r="E234" s="66"/>
      <c r="F234" s="66"/>
      <c r="G234" s="66"/>
      <c r="H234" s="68"/>
      <c r="I234" s="66" t="str">
        <f t="shared" ca="1" si="6"/>
        <v/>
      </c>
    </row>
    <row r="235" spans="1:9" ht="14.25" customHeight="1" x14ac:dyDescent="0.35">
      <c r="A235" s="68">
        <f t="shared" si="7"/>
        <v>234</v>
      </c>
      <c r="B235" s="66"/>
      <c r="C235" s="67"/>
      <c r="D235" s="68"/>
      <c r="E235" s="66"/>
      <c r="F235" s="66"/>
      <c r="G235" s="66"/>
      <c r="H235" s="68"/>
      <c r="I235" s="66" t="str">
        <f t="shared" ca="1" si="6"/>
        <v/>
      </c>
    </row>
    <row r="236" spans="1:9" ht="14.25" customHeight="1" x14ac:dyDescent="0.35">
      <c r="A236" s="68">
        <f t="shared" si="7"/>
        <v>235</v>
      </c>
      <c r="B236" s="66"/>
      <c r="C236" s="67"/>
      <c r="D236" s="68"/>
      <c r="E236" s="66"/>
      <c r="F236" s="66"/>
      <c r="G236" s="66"/>
      <c r="H236" s="68"/>
      <c r="I236" s="66" t="str">
        <f t="shared" ca="1" si="6"/>
        <v/>
      </c>
    </row>
    <row r="237" spans="1:9" ht="14.25" customHeight="1" x14ac:dyDescent="0.35">
      <c r="A237" s="68">
        <f t="shared" si="7"/>
        <v>236</v>
      </c>
      <c r="B237" s="66"/>
      <c r="C237" s="67"/>
      <c r="D237" s="68"/>
      <c r="E237" s="66"/>
      <c r="F237" s="66"/>
      <c r="G237" s="66"/>
      <c r="H237" s="68"/>
      <c r="I237" s="66" t="str">
        <f t="shared" ca="1" si="6"/>
        <v/>
      </c>
    </row>
    <row r="238" spans="1:9" ht="14.25" customHeight="1" x14ac:dyDescent="0.35">
      <c r="A238" s="68">
        <f t="shared" si="7"/>
        <v>237</v>
      </c>
      <c r="B238" s="66"/>
      <c r="C238" s="67"/>
      <c r="D238" s="68"/>
      <c r="E238" s="66"/>
      <c r="F238" s="66"/>
      <c r="G238" s="66"/>
      <c r="H238" s="68"/>
      <c r="I238" s="66" t="str">
        <f t="shared" ca="1" si="6"/>
        <v/>
      </c>
    </row>
    <row r="239" spans="1:9" ht="14.25" customHeight="1" x14ac:dyDescent="0.35">
      <c r="A239" s="68">
        <f t="shared" si="7"/>
        <v>238</v>
      </c>
      <c r="B239" s="66"/>
      <c r="C239" s="67"/>
      <c r="D239" s="68"/>
      <c r="E239" s="66"/>
      <c r="F239" s="66"/>
      <c r="G239" s="66"/>
      <c r="H239" s="68"/>
      <c r="I239" s="66" t="str">
        <f t="shared" ca="1" si="6"/>
        <v/>
      </c>
    </row>
    <row r="240" spans="1:9" ht="14.25" customHeight="1" x14ac:dyDescent="0.35">
      <c r="A240" s="68">
        <f t="shared" si="7"/>
        <v>239</v>
      </c>
      <c r="B240" s="66"/>
      <c r="C240" s="67"/>
      <c r="D240" s="68"/>
      <c r="E240" s="66"/>
      <c r="F240" s="66"/>
      <c r="G240" s="66"/>
      <c r="H240" s="68"/>
      <c r="I240" s="66" t="str">
        <f t="shared" ca="1" si="6"/>
        <v/>
      </c>
    </row>
    <row r="241" spans="1:9" ht="14.25" customHeight="1" x14ac:dyDescent="0.35">
      <c r="A241" s="68">
        <f t="shared" si="7"/>
        <v>240</v>
      </c>
      <c r="B241" s="66"/>
      <c r="C241" s="67"/>
      <c r="D241" s="68"/>
      <c r="E241" s="66"/>
      <c r="F241" s="66"/>
      <c r="G241" s="66"/>
      <c r="H241" s="68"/>
      <c r="I241" s="66" t="str">
        <f t="shared" ca="1" si="6"/>
        <v/>
      </c>
    </row>
    <row r="242" spans="1:9" ht="14.25" customHeight="1" x14ac:dyDescent="0.35">
      <c r="A242" s="68">
        <f t="shared" si="7"/>
        <v>241</v>
      </c>
      <c r="B242" s="66"/>
      <c r="C242" s="67"/>
      <c r="D242" s="68"/>
      <c r="E242" s="66"/>
      <c r="F242" s="66"/>
      <c r="G242" s="66"/>
      <c r="H242" s="68"/>
      <c r="I242" s="66" t="str">
        <f t="shared" ca="1" si="6"/>
        <v/>
      </c>
    </row>
    <row r="243" spans="1:9" ht="14.25" customHeight="1" x14ac:dyDescent="0.35">
      <c r="A243" s="68">
        <f t="shared" si="7"/>
        <v>242</v>
      </c>
      <c r="B243" s="66"/>
      <c r="C243" s="67"/>
      <c r="D243" s="68"/>
      <c r="E243" s="66"/>
      <c r="F243" s="66"/>
      <c r="G243" s="66"/>
      <c r="H243" s="68"/>
      <c r="I243" s="66" t="str">
        <f t="shared" ca="1" si="6"/>
        <v/>
      </c>
    </row>
    <row r="244" spans="1:9" ht="14.25" customHeight="1" x14ac:dyDescent="0.35">
      <c r="A244" s="68">
        <f t="shared" si="7"/>
        <v>243</v>
      </c>
      <c r="B244" s="66"/>
      <c r="C244" s="67"/>
      <c r="D244" s="68"/>
      <c r="E244" s="66"/>
      <c r="F244" s="66"/>
      <c r="G244" s="66"/>
      <c r="H244" s="68"/>
      <c r="I244" s="66" t="str">
        <f t="shared" ca="1" si="6"/>
        <v/>
      </c>
    </row>
    <row r="245" spans="1:9" ht="14.25" customHeight="1" x14ac:dyDescent="0.35">
      <c r="A245" s="68">
        <f t="shared" si="7"/>
        <v>244</v>
      </c>
      <c r="B245" s="66"/>
      <c r="C245" s="67"/>
      <c r="D245" s="68"/>
      <c r="E245" s="66"/>
      <c r="F245" s="66"/>
      <c r="G245" s="66"/>
      <c r="H245" s="68"/>
      <c r="I245" s="66" t="str">
        <f t="shared" ca="1" si="6"/>
        <v/>
      </c>
    </row>
    <row r="246" spans="1:9" ht="14.25" customHeight="1" x14ac:dyDescent="0.35">
      <c r="A246" s="68">
        <f t="shared" si="7"/>
        <v>245</v>
      </c>
      <c r="B246" s="66"/>
      <c r="C246" s="67"/>
      <c r="D246" s="68"/>
      <c r="E246" s="66"/>
      <c r="F246" s="66"/>
      <c r="G246" s="66"/>
      <c r="H246" s="68"/>
      <c r="I246" s="66" t="str">
        <f t="shared" ca="1" si="6"/>
        <v/>
      </c>
    </row>
    <row r="247" spans="1:9" ht="14.25" customHeight="1" x14ac:dyDescent="0.35">
      <c r="A247" s="68">
        <f t="shared" si="7"/>
        <v>246</v>
      </c>
      <c r="B247" s="66"/>
      <c r="C247" s="67"/>
      <c r="D247" s="68"/>
      <c r="E247" s="66"/>
      <c r="F247" s="66"/>
      <c r="G247" s="66"/>
      <c r="H247" s="68"/>
      <c r="I247" s="66" t="str">
        <f t="shared" ca="1" si="6"/>
        <v/>
      </c>
    </row>
    <row r="248" spans="1:9" ht="14.25" customHeight="1" x14ac:dyDescent="0.35">
      <c r="A248" s="68">
        <f t="shared" si="7"/>
        <v>247</v>
      </c>
      <c r="B248" s="66"/>
      <c r="C248" s="67"/>
      <c r="D248" s="68"/>
      <c r="E248" s="66"/>
      <c r="F248" s="66"/>
      <c r="G248" s="66"/>
      <c r="H248" s="68"/>
      <c r="I248" s="66" t="str">
        <f t="shared" ca="1" si="6"/>
        <v/>
      </c>
    </row>
    <row r="249" spans="1:9" ht="14.25" customHeight="1" x14ac:dyDescent="0.35">
      <c r="A249" s="68">
        <f t="shared" si="7"/>
        <v>248</v>
      </c>
      <c r="B249" s="66"/>
      <c r="C249" s="67"/>
      <c r="D249" s="68"/>
      <c r="E249" s="66"/>
      <c r="F249" s="66"/>
      <c r="G249" s="66"/>
      <c r="H249" s="68"/>
      <c r="I249" s="66" t="str">
        <f t="shared" ca="1" si="6"/>
        <v/>
      </c>
    </row>
    <row r="250" spans="1:9" ht="14.25" customHeight="1" x14ac:dyDescent="0.35">
      <c r="A250" s="68">
        <f t="shared" si="7"/>
        <v>249</v>
      </c>
      <c r="B250" s="66"/>
      <c r="C250" s="67"/>
      <c r="D250" s="68"/>
      <c r="E250" s="66"/>
      <c r="F250" s="66"/>
      <c r="G250" s="66"/>
      <c r="H250" s="68"/>
      <c r="I250" s="66" t="str">
        <f t="shared" ca="1" si="6"/>
        <v/>
      </c>
    </row>
    <row r="251" spans="1:9" ht="14.25" customHeight="1" x14ac:dyDescent="0.35">
      <c r="A251" s="68">
        <f t="shared" si="7"/>
        <v>250</v>
      </c>
      <c r="B251" s="66"/>
      <c r="C251" s="67"/>
      <c r="D251" s="68"/>
      <c r="E251" s="66"/>
      <c r="F251" s="66"/>
      <c r="G251" s="66"/>
      <c r="H251" s="68"/>
      <c r="I251" s="66" t="str">
        <f t="shared" ca="1" si="6"/>
        <v/>
      </c>
    </row>
    <row r="252" spans="1:9" ht="14.25" customHeight="1" x14ac:dyDescent="0.35">
      <c r="A252" s="68">
        <f t="shared" si="7"/>
        <v>251</v>
      </c>
      <c r="B252" s="66"/>
      <c r="C252" s="67"/>
      <c r="D252" s="68"/>
      <c r="E252" s="66"/>
      <c r="F252" s="66"/>
      <c r="G252" s="66"/>
      <c r="H252" s="68"/>
      <c r="I252" s="66" t="str">
        <f t="shared" ca="1" si="6"/>
        <v/>
      </c>
    </row>
    <row r="253" spans="1:9" ht="14.25" customHeight="1" x14ac:dyDescent="0.35">
      <c r="A253" s="68">
        <f t="shared" si="7"/>
        <v>252</v>
      </c>
      <c r="B253" s="66"/>
      <c r="C253" s="67"/>
      <c r="D253" s="68"/>
      <c r="E253" s="66"/>
      <c r="F253" s="66"/>
      <c r="G253" s="66"/>
      <c r="H253" s="68"/>
      <c r="I253" s="66" t="str">
        <f t="shared" ca="1" si="6"/>
        <v/>
      </c>
    </row>
    <row r="254" spans="1:9" ht="14.25" customHeight="1" x14ac:dyDescent="0.35">
      <c r="A254" s="68">
        <f t="shared" si="7"/>
        <v>253</v>
      </c>
      <c r="B254" s="66"/>
      <c r="C254" s="67"/>
      <c r="D254" s="68"/>
      <c r="E254" s="66"/>
      <c r="F254" s="66"/>
      <c r="G254" s="66"/>
      <c r="H254" s="68"/>
      <c r="I254" s="66" t="str">
        <f t="shared" ca="1" si="6"/>
        <v/>
      </c>
    </row>
    <row r="255" spans="1:9" ht="14.25" customHeight="1" x14ac:dyDescent="0.35">
      <c r="A255" s="68">
        <f t="shared" si="7"/>
        <v>254</v>
      </c>
      <c r="B255" s="66"/>
      <c r="C255" s="67"/>
      <c r="D255" s="68"/>
      <c r="E255" s="66"/>
      <c r="F255" s="66"/>
      <c r="G255" s="66"/>
      <c r="H255" s="68"/>
      <c r="I255" s="66" t="str">
        <f t="shared" ca="1" si="6"/>
        <v/>
      </c>
    </row>
    <row r="256" spans="1:9" ht="14.25" customHeight="1" x14ac:dyDescent="0.35">
      <c r="A256" s="68">
        <f t="shared" si="7"/>
        <v>255</v>
      </c>
      <c r="B256" s="66"/>
      <c r="C256" s="67"/>
      <c r="D256" s="68"/>
      <c r="E256" s="66"/>
      <c r="F256" s="66"/>
      <c r="G256" s="66"/>
      <c r="H256" s="68"/>
      <c r="I256" s="66" t="str">
        <f t="shared" ca="1" si="6"/>
        <v/>
      </c>
    </row>
    <row r="257" spans="1:9" ht="14.25" customHeight="1" x14ac:dyDescent="0.35">
      <c r="A257" s="68">
        <f t="shared" si="7"/>
        <v>256</v>
      </c>
      <c r="B257" s="66"/>
      <c r="C257" s="67"/>
      <c r="D257" s="68"/>
      <c r="E257" s="66"/>
      <c r="F257" s="66"/>
      <c r="G257" s="66"/>
      <c r="H257" s="68"/>
      <c r="I257" s="66" t="str">
        <f t="shared" ca="1" si="6"/>
        <v/>
      </c>
    </row>
    <row r="258" spans="1:9" ht="14.25" customHeight="1" x14ac:dyDescent="0.35">
      <c r="A258" s="71">
        <f t="shared" si="7"/>
        <v>257</v>
      </c>
      <c r="B258" s="69"/>
      <c r="C258" s="70"/>
      <c r="D258" s="71"/>
      <c r="E258" s="69"/>
      <c r="F258" s="69"/>
      <c r="G258" s="69"/>
      <c r="H258" s="71"/>
      <c r="I258" s="69" t="str">
        <f t="shared" ca="1" si="6"/>
        <v/>
      </c>
    </row>
  </sheetData>
  <autoFilter ref="A1:K258" xr:uid="{00000000-0001-0000-0100-000000000000}"/>
  <conditionalFormatting sqref="A2:I258">
    <cfRule type="expression" dxfId="0" priority="2">
      <formula>MOD(ROW($A2),2)=0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showGridLines="0" zoomScaleNormal="100" workbookViewId="0">
      <selection activeCell="G31" sqref="G31"/>
    </sheetView>
  </sheetViews>
  <sheetFormatPr defaultColWidth="8.6328125" defaultRowHeight="14.5" x14ac:dyDescent="0.35"/>
  <cols>
    <col min="1" max="1" width="20.6328125" customWidth="1"/>
    <col min="2" max="2" width="6.6328125" style="53" customWidth="1"/>
    <col min="3" max="3" width="9.6328125" style="53" customWidth="1"/>
    <col min="4" max="4" width="2.6328125" customWidth="1"/>
    <col min="5" max="5" width="20.6328125" customWidth="1"/>
    <col min="6" max="6" width="6.6328125" customWidth="1"/>
    <col min="7" max="7" width="9.6328125" customWidth="1"/>
    <col min="8" max="8" width="2.6328125" customWidth="1"/>
    <col min="9" max="9" width="20.6328125" customWidth="1"/>
    <col min="10" max="10" width="6.6328125" style="53" customWidth="1"/>
    <col min="11" max="11" width="9.6328125" style="53" customWidth="1"/>
  </cols>
  <sheetData>
    <row r="1" spans="1:11" ht="14.25" customHeight="1" x14ac:dyDescent="0.35">
      <c r="A1" s="128" t="s">
        <v>158</v>
      </c>
      <c r="B1" s="128"/>
      <c r="C1" s="128"/>
      <c r="E1" s="128" t="s">
        <v>159</v>
      </c>
      <c r="F1" s="128"/>
      <c r="G1" s="128"/>
      <c r="I1" s="128" t="s">
        <v>160</v>
      </c>
      <c r="J1" s="128"/>
      <c r="K1" s="128"/>
    </row>
    <row r="2" spans="1:11" ht="14.25" customHeight="1" x14ac:dyDescent="0.35">
      <c r="B2" s="59" t="s">
        <v>167</v>
      </c>
      <c r="E2" s="56" t="s">
        <v>14</v>
      </c>
      <c r="F2" t="s">
        <v>169</v>
      </c>
      <c r="J2" s="59" t="s">
        <v>167</v>
      </c>
    </row>
    <row r="3" spans="1:11" x14ac:dyDescent="0.35">
      <c r="A3" s="56" t="s">
        <v>161</v>
      </c>
      <c r="B3" s="53" t="s">
        <v>15</v>
      </c>
      <c r="C3" s="53" t="s">
        <v>16</v>
      </c>
      <c r="E3" s="56" t="s">
        <v>9</v>
      </c>
      <c r="F3" t="s">
        <v>169</v>
      </c>
      <c r="I3" s="56" t="s">
        <v>161</v>
      </c>
      <c r="J3" s="53" t="s">
        <v>15</v>
      </c>
      <c r="K3" s="53" t="s">
        <v>16</v>
      </c>
    </row>
    <row r="4" spans="1:11" ht="14.25" customHeight="1" x14ac:dyDescent="0.35">
      <c r="A4" s="57" t="s">
        <v>55</v>
      </c>
      <c r="B4" s="53">
        <v>56</v>
      </c>
      <c r="C4" s="60">
        <v>91571</v>
      </c>
      <c r="I4" s="57">
        <v>2011</v>
      </c>
      <c r="J4" s="53">
        <v>1</v>
      </c>
      <c r="K4" s="60">
        <v>561</v>
      </c>
    </row>
    <row r="5" spans="1:11" ht="14.25" customHeight="1" x14ac:dyDescent="0.35">
      <c r="A5" s="58" t="s">
        <v>20</v>
      </c>
      <c r="B5" s="53">
        <v>6</v>
      </c>
      <c r="C5" s="60">
        <v>13787</v>
      </c>
      <c r="F5" s="56" t="s">
        <v>167</v>
      </c>
      <c r="I5" s="57">
        <v>2012</v>
      </c>
      <c r="J5" s="53">
        <v>1</v>
      </c>
      <c r="K5" s="60">
        <v>4287</v>
      </c>
    </row>
    <row r="6" spans="1:11" ht="14.25" customHeight="1" x14ac:dyDescent="0.35">
      <c r="A6" s="58" t="s">
        <v>35</v>
      </c>
      <c r="B6" s="53">
        <v>1</v>
      </c>
      <c r="C6" s="60">
        <v>336</v>
      </c>
      <c r="E6" s="56" t="s">
        <v>161</v>
      </c>
      <c r="F6" t="s">
        <v>15</v>
      </c>
      <c r="G6" t="s">
        <v>16</v>
      </c>
      <c r="I6" s="57">
        <v>2015</v>
      </c>
      <c r="J6" s="53">
        <v>2</v>
      </c>
      <c r="K6" s="60">
        <v>708</v>
      </c>
    </row>
    <row r="7" spans="1:11" ht="14.25" customHeight="1" x14ac:dyDescent="0.35">
      <c r="A7" s="58" t="s">
        <v>21</v>
      </c>
      <c r="B7" s="53">
        <v>8</v>
      </c>
      <c r="C7" s="60">
        <v>22669</v>
      </c>
      <c r="E7" s="57" t="s">
        <v>20</v>
      </c>
      <c r="F7">
        <v>20</v>
      </c>
      <c r="G7" s="61">
        <v>21060</v>
      </c>
      <c r="I7" s="57">
        <v>2016</v>
      </c>
      <c r="J7" s="53">
        <v>7</v>
      </c>
      <c r="K7" s="60">
        <v>4706</v>
      </c>
    </row>
    <row r="8" spans="1:11" ht="14.25" customHeight="1" x14ac:dyDescent="0.35">
      <c r="A8" s="58" t="s">
        <v>22</v>
      </c>
      <c r="B8" s="53">
        <v>2</v>
      </c>
      <c r="C8" s="60">
        <v>2880</v>
      </c>
      <c r="E8" s="57" t="s">
        <v>33</v>
      </c>
      <c r="F8">
        <v>1</v>
      </c>
      <c r="G8" s="61">
        <v>878</v>
      </c>
      <c r="I8" s="57">
        <v>2017</v>
      </c>
      <c r="J8" s="53">
        <v>7</v>
      </c>
      <c r="K8" s="60">
        <v>2849</v>
      </c>
    </row>
    <row r="9" spans="1:11" ht="14.25" customHeight="1" x14ac:dyDescent="0.35">
      <c r="A9" s="58" t="s">
        <v>32</v>
      </c>
      <c r="B9" s="53">
        <v>1</v>
      </c>
      <c r="C9" s="60">
        <v>3145</v>
      </c>
      <c r="E9" s="57" t="s">
        <v>35</v>
      </c>
      <c r="F9">
        <v>1</v>
      </c>
      <c r="G9" s="61">
        <v>336</v>
      </c>
      <c r="I9" s="57">
        <v>2018</v>
      </c>
      <c r="J9" s="53">
        <v>4</v>
      </c>
      <c r="K9" s="60">
        <v>5981</v>
      </c>
    </row>
    <row r="10" spans="1:11" ht="14.25" customHeight="1" x14ac:dyDescent="0.35">
      <c r="A10" s="58" t="s">
        <v>25</v>
      </c>
      <c r="B10" s="53">
        <v>3</v>
      </c>
      <c r="C10" s="60">
        <v>2299</v>
      </c>
      <c r="E10" s="57" t="s">
        <v>26</v>
      </c>
      <c r="F10">
        <v>3</v>
      </c>
      <c r="G10" s="61">
        <v>11439</v>
      </c>
      <c r="I10" s="57">
        <v>2021</v>
      </c>
      <c r="J10" s="53">
        <v>3</v>
      </c>
      <c r="K10" s="60">
        <v>1834</v>
      </c>
    </row>
    <row r="11" spans="1:11" ht="14.25" customHeight="1" x14ac:dyDescent="0.35">
      <c r="A11" s="58" t="s">
        <v>29</v>
      </c>
      <c r="B11" s="53">
        <v>4</v>
      </c>
      <c r="C11" s="60">
        <v>8421</v>
      </c>
      <c r="E11" s="57" t="s">
        <v>21</v>
      </c>
      <c r="F11">
        <v>15</v>
      </c>
      <c r="G11" s="61">
        <v>39177</v>
      </c>
      <c r="I11" s="57">
        <v>2022</v>
      </c>
      <c r="J11" s="53">
        <v>8</v>
      </c>
      <c r="K11" s="60">
        <v>8591</v>
      </c>
    </row>
    <row r="12" spans="1:11" ht="14.25" customHeight="1" x14ac:dyDescent="0.35">
      <c r="A12" s="58" t="s">
        <v>23</v>
      </c>
      <c r="B12" s="53">
        <v>3</v>
      </c>
      <c r="C12" s="60">
        <v>786</v>
      </c>
      <c r="E12" s="57" t="s">
        <v>22</v>
      </c>
      <c r="F12">
        <v>8</v>
      </c>
      <c r="G12" s="61">
        <v>11138</v>
      </c>
      <c r="I12" s="57">
        <v>2023</v>
      </c>
      <c r="J12" s="53">
        <v>4</v>
      </c>
      <c r="K12" s="60">
        <v>4491</v>
      </c>
    </row>
    <row r="13" spans="1:11" ht="14.25" customHeight="1" x14ac:dyDescent="0.35">
      <c r="A13" s="58" t="s">
        <v>19</v>
      </c>
      <c r="B13" s="53">
        <v>19</v>
      </c>
      <c r="C13" s="60">
        <v>22983</v>
      </c>
      <c r="E13" s="57" t="s">
        <v>32</v>
      </c>
      <c r="F13">
        <v>1</v>
      </c>
      <c r="G13" s="61">
        <v>3145</v>
      </c>
      <c r="I13" s="57">
        <v>2024</v>
      </c>
      <c r="J13" s="53">
        <v>5</v>
      </c>
      <c r="K13" s="60">
        <v>8148</v>
      </c>
    </row>
    <row r="14" spans="1:11" ht="14.25" customHeight="1" x14ac:dyDescent="0.35">
      <c r="A14" s="58" t="s">
        <v>24</v>
      </c>
      <c r="B14" s="53">
        <v>4</v>
      </c>
      <c r="C14" s="60">
        <v>7553</v>
      </c>
      <c r="E14" s="57" t="s">
        <v>25</v>
      </c>
      <c r="F14">
        <v>3</v>
      </c>
      <c r="G14" s="61">
        <v>2299</v>
      </c>
      <c r="I14" s="57">
        <v>2025</v>
      </c>
      <c r="J14" s="53">
        <v>7</v>
      </c>
      <c r="K14" s="60">
        <v>9004</v>
      </c>
    </row>
    <row r="15" spans="1:11" ht="14.25" customHeight="1" x14ac:dyDescent="0.35">
      <c r="A15" s="58" t="s">
        <v>28</v>
      </c>
      <c r="B15" s="53">
        <v>1</v>
      </c>
      <c r="C15" s="60">
        <v>2842</v>
      </c>
      <c r="E15" s="57" t="s">
        <v>29</v>
      </c>
      <c r="F15">
        <v>4</v>
      </c>
      <c r="G15" s="61">
        <v>8421</v>
      </c>
      <c r="I15" s="57">
        <v>2026</v>
      </c>
      <c r="J15" s="53">
        <v>22</v>
      </c>
      <c r="K15" s="60">
        <v>44719</v>
      </c>
    </row>
    <row r="16" spans="1:11" ht="14.25" customHeight="1" x14ac:dyDescent="0.35">
      <c r="A16" s="58" t="s">
        <v>30</v>
      </c>
      <c r="B16" s="53">
        <v>2</v>
      </c>
      <c r="C16" s="60">
        <v>2637</v>
      </c>
      <c r="E16" s="57" t="s">
        <v>23</v>
      </c>
      <c r="F16">
        <v>7</v>
      </c>
      <c r="G16" s="61">
        <v>2065</v>
      </c>
      <c r="I16" s="57" t="s">
        <v>54</v>
      </c>
      <c r="J16" s="53">
        <v>40</v>
      </c>
      <c r="K16" s="60">
        <v>57966</v>
      </c>
    </row>
    <row r="17" spans="1:11" ht="14.25" customHeight="1" x14ac:dyDescent="0.35">
      <c r="A17" s="58" t="s">
        <v>31</v>
      </c>
      <c r="B17" s="53">
        <v>1</v>
      </c>
      <c r="C17" s="60">
        <v>811</v>
      </c>
      <c r="E17" s="57" t="s">
        <v>19</v>
      </c>
      <c r="F17">
        <v>34</v>
      </c>
      <c r="G17" s="61">
        <v>34264</v>
      </c>
      <c r="I17" s="57" t="s">
        <v>168</v>
      </c>
      <c r="J17" s="53">
        <v>111</v>
      </c>
      <c r="K17" s="60">
        <v>153845</v>
      </c>
    </row>
    <row r="18" spans="1:11" ht="14.25" customHeight="1" x14ac:dyDescent="0.35">
      <c r="A18" s="58" t="s">
        <v>36</v>
      </c>
      <c r="B18" s="53">
        <v>1</v>
      </c>
      <c r="C18" s="60">
        <v>422</v>
      </c>
      <c r="E18" s="57" t="s">
        <v>24</v>
      </c>
      <c r="F18">
        <v>5</v>
      </c>
      <c r="G18" s="61">
        <v>7974</v>
      </c>
    </row>
    <row r="19" spans="1:11" ht="14.25" customHeight="1" x14ac:dyDescent="0.35">
      <c r="A19" s="57" t="s">
        <v>59</v>
      </c>
      <c r="B19" s="53">
        <v>55</v>
      </c>
      <c r="C19" s="60">
        <v>62274</v>
      </c>
      <c r="E19" s="57" t="s">
        <v>27</v>
      </c>
      <c r="F19">
        <v>2</v>
      </c>
      <c r="G19" s="61">
        <v>3036</v>
      </c>
    </row>
    <row r="20" spans="1:11" ht="14.25" customHeight="1" x14ac:dyDescent="0.35">
      <c r="A20" s="58" t="s">
        <v>20</v>
      </c>
      <c r="B20" s="53">
        <v>14</v>
      </c>
      <c r="C20" s="60">
        <v>7273</v>
      </c>
      <c r="E20" s="57" t="s">
        <v>28</v>
      </c>
      <c r="F20">
        <v>2</v>
      </c>
      <c r="G20" s="61">
        <v>4340</v>
      </c>
    </row>
    <row r="21" spans="1:11" ht="14.25" customHeight="1" x14ac:dyDescent="0.35">
      <c r="A21" s="58" t="s">
        <v>33</v>
      </c>
      <c r="B21" s="53">
        <v>1</v>
      </c>
      <c r="C21" s="60">
        <v>878</v>
      </c>
      <c r="E21" s="57" t="s">
        <v>30</v>
      </c>
      <c r="F21">
        <v>2</v>
      </c>
      <c r="G21" s="61">
        <v>2637</v>
      </c>
    </row>
    <row r="22" spans="1:11" ht="14.25" customHeight="1" x14ac:dyDescent="0.35">
      <c r="A22" s="58" t="s">
        <v>26</v>
      </c>
      <c r="B22" s="53">
        <v>3</v>
      </c>
      <c r="C22" s="60">
        <v>11439</v>
      </c>
      <c r="E22" s="57" t="s">
        <v>34</v>
      </c>
      <c r="F22">
        <v>1</v>
      </c>
      <c r="G22" s="61">
        <v>403</v>
      </c>
    </row>
    <row r="23" spans="1:11" ht="14.25" customHeight="1" x14ac:dyDescent="0.35">
      <c r="A23" s="58" t="s">
        <v>21</v>
      </c>
      <c r="B23" s="53">
        <v>7</v>
      </c>
      <c r="C23" s="60">
        <v>16508</v>
      </c>
      <c r="E23" s="57" t="s">
        <v>31</v>
      </c>
      <c r="F23">
        <v>1</v>
      </c>
      <c r="G23" s="61">
        <v>811</v>
      </c>
    </row>
    <row r="24" spans="1:11" ht="14.25" customHeight="1" x14ac:dyDescent="0.35">
      <c r="A24" s="58" t="s">
        <v>22</v>
      </c>
      <c r="B24" s="53">
        <v>6</v>
      </c>
      <c r="C24" s="60">
        <v>8258</v>
      </c>
      <c r="E24" s="57" t="s">
        <v>36</v>
      </c>
      <c r="F24">
        <v>1</v>
      </c>
      <c r="G24" s="61">
        <v>422</v>
      </c>
    </row>
    <row r="25" spans="1:11" ht="14.25" customHeight="1" x14ac:dyDescent="0.35">
      <c r="A25" s="58" t="s">
        <v>23</v>
      </c>
      <c r="B25" s="53">
        <v>4</v>
      </c>
      <c r="C25" s="60">
        <v>1279</v>
      </c>
      <c r="E25" s="57" t="s">
        <v>168</v>
      </c>
      <c r="F25">
        <v>111</v>
      </c>
      <c r="G25" s="61">
        <v>153845</v>
      </c>
    </row>
    <row r="26" spans="1:11" ht="14.25" customHeight="1" x14ac:dyDescent="0.35">
      <c r="A26" s="58" t="s">
        <v>19</v>
      </c>
      <c r="B26" s="53">
        <v>15</v>
      </c>
      <c r="C26" s="60">
        <v>11281</v>
      </c>
    </row>
    <row r="27" spans="1:11" ht="14.25" customHeight="1" x14ac:dyDescent="0.35">
      <c r="A27" s="58" t="s">
        <v>24</v>
      </c>
      <c r="B27" s="53">
        <v>1</v>
      </c>
      <c r="C27" s="60">
        <v>421</v>
      </c>
    </row>
    <row r="28" spans="1:11" ht="14.25" customHeight="1" x14ac:dyDescent="0.35">
      <c r="A28" s="58" t="s">
        <v>27</v>
      </c>
      <c r="B28" s="53">
        <v>2</v>
      </c>
      <c r="C28" s="60">
        <v>3036</v>
      </c>
    </row>
    <row r="29" spans="1:11" ht="14.25" customHeight="1" x14ac:dyDescent="0.35">
      <c r="A29" s="58" t="s">
        <v>28</v>
      </c>
      <c r="B29" s="53">
        <v>1</v>
      </c>
      <c r="C29" s="60">
        <v>1498</v>
      </c>
    </row>
    <row r="30" spans="1:11" ht="14.25" customHeight="1" x14ac:dyDescent="0.35">
      <c r="A30" s="58" t="s">
        <v>34</v>
      </c>
      <c r="B30" s="53">
        <v>1</v>
      </c>
      <c r="C30" s="60">
        <v>403</v>
      </c>
    </row>
    <row r="31" spans="1:11" ht="14.25" customHeight="1" x14ac:dyDescent="0.35">
      <c r="A31" s="57" t="s">
        <v>168</v>
      </c>
      <c r="B31" s="53">
        <v>111</v>
      </c>
      <c r="C31" s="60">
        <v>153845</v>
      </c>
    </row>
  </sheetData>
  <mergeCells count="3">
    <mergeCell ref="A1:C1"/>
    <mergeCell ref="E1:G1"/>
    <mergeCell ref="I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0677-2FA1-4BD4-B813-593B76374B7B}">
  <dimension ref="A1:B2"/>
  <sheetViews>
    <sheetView workbookViewId="0">
      <selection activeCell="B2" sqref="B2"/>
    </sheetView>
  </sheetViews>
  <sheetFormatPr defaultRowHeight="14.5" x14ac:dyDescent="0.35"/>
  <cols>
    <col min="1" max="1" width="10.6328125" bestFit="1" customWidth="1"/>
    <col min="2" max="2" width="10.453125" bestFit="1" customWidth="1"/>
  </cols>
  <sheetData>
    <row r="1" spans="1:2" x14ac:dyDescent="0.35">
      <c r="A1" t="s">
        <v>200</v>
      </c>
      <c r="B1" s="75">
        <v>46190</v>
      </c>
    </row>
    <row r="2" spans="1:2" x14ac:dyDescent="0.35">
      <c r="A2" t="s">
        <v>201</v>
      </c>
      <c r="B2" s="7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Inventory</vt:lpstr>
      <vt:lpstr>Totals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Felipe Ranoya Santos</cp:lastModifiedBy>
  <cp:revision>1</cp:revision>
  <dcterms:created xsi:type="dcterms:W3CDTF">2025-12-30T03:11:08Z</dcterms:created>
  <dcterms:modified xsi:type="dcterms:W3CDTF">2026-06-17T00:09:01Z</dcterms:modified>
  <dc:language>en-US</dc:language>
</cp:coreProperties>
</file>