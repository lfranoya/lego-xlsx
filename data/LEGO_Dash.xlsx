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01B7B04F-30D1-475F-82E4-6B8EC78EED98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4" l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<sst xmlns="http://schemas.openxmlformats.org/spreadsheetml/2006/main" count="620" uniqueCount="202">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</sst>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80" t="s">
        <v>175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</row>
    <row r="3" spans="2:18" ht="6" customHeight="1" thickBot="1" x14ac:dyDescent="0.4"/>
    <row r="4" spans="2:18" ht="15" customHeight="1" x14ac:dyDescent="0.35">
      <c r="B4" s="82" t="s">
        <v>0</v>
      </c>
      <c r="C4" s="82"/>
      <c r="D4" s="82" t="s">
        <v>1</v>
      </c>
      <c r="E4" s="82"/>
      <c r="F4" s="82" t="s">
        <v>2</v>
      </c>
      <c r="G4" s="82"/>
      <c r="H4" s="82" t="s">
        <v>3</v>
      </c>
      <c r="I4" s="82"/>
      <c r="J4" s="83" t="s">
        <v>4</v>
      </c>
      <c r="K4" s="84"/>
      <c r="L4" s="85"/>
    </row>
    <row r="5" spans="2:18" ht="31" x14ac:dyDescent="0.35">
      <c r="B5" s="87">
        <f>COUNTA(Inventory!C2:C1000)</f>
        <v>137</v>
      </c>
      <c r="C5" s="87"/>
      <c r="D5" s="88">
        <f>COUNTIF(Inventory!H2:H1000,"YES")</f>
        <v>66</v>
      </c>
      <c r="E5" s="88"/>
      <c r="F5" s="89">
        <f>COUNTIF(Inventory!H2:H1000,"NO")</f>
        <v>71</v>
      </c>
      <c r="G5" s="89"/>
      <c r="H5" s="90">
        <f ca="1">COUNTIF(Inventory!I2:I1000,"Not Retired")</f>
        <v>74</v>
      </c>
      <c r="I5" s="90"/>
      <c r="J5" s="77">
        <f ca="1">COUNTIF(Inventory!I2:I1000,"Retired")</f>
        <v>63</v>
      </c>
      <c r="K5" s="78"/>
      <c r="L5" s="79"/>
    </row>
    <row r="6" spans="2:18" ht="17.5" customHeight="1" x14ac:dyDescent="0.35">
      <c r="B6" s="86">
        <f>SUMIF(Inventory!E2:E1000,"&lt;&gt;"&amp;"",Inventory!E2:E1000)</f>
        <v>179966</v>
      </c>
      <c r="C6" s="86"/>
      <c r="D6" s="86">
        <f>SUMIF(Inventory!H2:H1000,"YES",Inventory!E2:E1000)</f>
        <v>76040</v>
      </c>
      <c r="E6" s="86"/>
      <c r="F6" s="86">
        <f>SUMIF(Inventory!H2:H1000,"NO",Inventory!E2:E1000)</f>
        <v>103926</v>
      </c>
      <c r="G6" s="86"/>
      <c r="H6" s="86">
        <f ca="1">SUMIFS(Inventory!E2:E1000,Inventory!I2:I1000,"Not Retired")</f>
        <v>113190</v>
      </c>
      <c r="I6" s="86"/>
      <c r="J6" s="102">
        <f ca="1">SUMIFS(Inventory!E2:E1000,Inventory!I2:I1000,"Retired")</f>
        <v>66776</v>
      </c>
      <c r="K6" s="103"/>
      <c r="L6" s="104"/>
      <c r="Q6" s="51"/>
      <c r="R6" s="61"/>
    </row>
    <row r="7" spans="2:18" x14ac:dyDescent="0.35">
      <c r="B7" s="92" t="s">
        <v>5</v>
      </c>
      <c r="C7" s="92"/>
      <c r="D7" s="92" t="s">
        <v>6</v>
      </c>
      <c r="E7" s="92"/>
      <c r="F7" s="93" t="s">
        <v>173</v>
      </c>
      <c r="G7" s="92"/>
      <c r="H7" s="92" t="s">
        <v>7</v>
      </c>
      <c r="I7" s="92"/>
      <c r="J7" s="105" t="s">
        <v>174</v>
      </c>
      <c r="K7" s="106"/>
      <c r="L7" s="107"/>
    </row>
    <row r="8" spans="2:18" ht="6" customHeight="1" thickBot="1" x14ac:dyDescent="0.4">
      <c r="B8" s="94"/>
      <c r="C8" s="94"/>
      <c r="D8" s="95"/>
      <c r="E8" s="95"/>
      <c r="F8" s="96"/>
      <c r="G8" s="96"/>
      <c r="H8" s="97"/>
      <c r="I8" s="97"/>
      <c r="J8" s="108"/>
      <c r="K8" s="109"/>
      <c r="L8" s="110"/>
    </row>
    <row r="9" spans="2:18" ht="6" customHeight="1" x14ac:dyDescent="0.35"/>
    <row r="10" spans="2:18" ht="19.5" customHeight="1" x14ac:dyDescent="0.35">
      <c r="B10" s="115" t="s">
        <v>8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</row>
    <row r="11" spans="2:18" ht="15.75" customHeight="1" x14ac:dyDescent="0.35">
      <c r="B11" s="127"/>
      <c r="C11" s="98" t="s">
        <v>9</v>
      </c>
      <c r="D11" s="98"/>
      <c r="E11" s="99" t="s">
        <v>10</v>
      </c>
      <c r="F11" s="99"/>
      <c r="G11" s="100" t="s">
        <v>11</v>
      </c>
      <c r="H11" s="100"/>
      <c r="I11" s="101" t="s">
        <v>12</v>
      </c>
      <c r="J11" s="101"/>
      <c r="K11" s="2"/>
      <c r="L11" s="91" t="s">
        <v>13</v>
      </c>
      <c r="M11" s="91"/>
      <c r="N11" s="113" t="s">
        <v>14</v>
      </c>
      <c r="O11" s="113"/>
    </row>
    <row r="12" spans="2:18" ht="15.75" customHeight="1" x14ac:dyDescent="0.35">
      <c r="B12" s="127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116" t="s">
        <v>38</v>
      </c>
      <c r="C33" s="116"/>
      <c r="D33" s="116"/>
      <c r="E33" s="55"/>
      <c r="F33" s="115" t="s">
        <v>42</v>
      </c>
      <c r="G33" s="115"/>
      <c r="H33" s="115"/>
      <c r="I33" s="115"/>
      <c r="J33" s="115"/>
      <c r="K33" s="115"/>
      <c r="L33" s="115"/>
      <c r="M33" s="115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91" t="s">
        <v>13</v>
      </c>
      <c r="H34" s="112"/>
      <c r="I34" s="113" t="s">
        <v>14</v>
      </c>
      <c r="J34" s="114"/>
      <c r="K34" s="125" t="s">
        <v>11</v>
      </c>
      <c r="L34" s="126"/>
      <c r="M34" s="126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117" t="s">
        <v>15</v>
      </c>
      <c r="L35" s="118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119">
        <f ca="1">G36+I36</f>
        <v>71</v>
      </c>
      <c r="L36" s="120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121">
        <f ca="1">G37+I37</f>
        <v>66</v>
      </c>
      <c r="L37" s="122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123">
        <f ca="1">K36+K37</f>
        <v>137</v>
      </c>
      <c r="L38" s="124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111" t="s">
        <v>40</v>
      </c>
      <c r="C50" s="111"/>
      <c r="D50" s="111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B6:C6"/>
    <mergeCell ref="D6:E6"/>
    <mergeCell ref="F6:G6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98" activePane="bottomLeft" state="frozen"/>
      <selection pane="bottomLeft" activeCell="H125" sqref="H125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f ca="1">+TODAY()+1</f>
        <v>46190</v>
      </c>
    </row>
    <row r="2" spans="1:2" x14ac:dyDescent="0.35">
      <c r="A2" t="s">
        <v>201</v>
      </c>
      <c r="B2" s="7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2026-06-16T23:00:29Z</dcterms:modified>
  <dc:language>en-US</dc:language>
</cp:coreProperties>
</file>